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Hub\Projet_route\"/>
    </mc:Choice>
  </mc:AlternateContent>
  <xr:revisionPtr revIDLastSave="0" documentId="13_ncr:1_{695FD238-295C-4696-9CD8-FAB3F54A2FB5}" xr6:coauthVersionLast="47" xr6:coauthVersionMax="47" xr10:uidLastSave="{00000000-0000-0000-0000-000000000000}"/>
  <bookViews>
    <workbookView xWindow="-120" yWindow="-120" windowWidth="20730" windowHeight="11760" tabRatio="500" activeTab="3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62" i="5" l="1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2" i="4"/>
  <c r="A2" i="4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  <c r="C2" i="4" l="1"/>
  <c r="C3" i="4" s="1"/>
  <c r="E2" i="4" l="1"/>
  <c r="D2" i="4"/>
</calcChain>
</file>

<file path=xl/sharedStrings.xml><?xml version="1.0" encoding="utf-8"?>
<sst xmlns="http://schemas.openxmlformats.org/spreadsheetml/2006/main" count="549" uniqueCount="127">
  <si>
    <t>ETU003265</t>
  </si>
  <si>
    <t>BAKOMALALA Fenitra Nomena Sarobidy</t>
  </si>
  <si>
    <t>ETU003324</t>
  </si>
  <si>
    <t>RAMANANKORAISINA Harenkanto Mitia</t>
  </si>
  <si>
    <t>ETU003350</t>
  </si>
  <si>
    <t>RANDRIANOMENA Harimalala Erika</t>
  </si>
  <si>
    <t>ETU003371</t>
  </si>
  <si>
    <t>RAZAFIMANJATO Lanja Marie Carene</t>
  </si>
  <si>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</si>
  <si>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</si>
  <si>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</si>
  <si>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</si>
  <si>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</si>
  <si>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</si>
  <si>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</si>
  <si>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</si>
  <si>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</si>
  <si>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</si>
  <si>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</si>
  <si>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</si>
  <si>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Cartes</t>
  </si>
  <si>
    <t>Index</t>
  </si>
  <si>
    <t>Vue global de la carte</t>
  </si>
  <si>
    <t>Affichage</t>
  </si>
  <si>
    <t>Metier</t>
  </si>
  <si>
    <t>Integration</t>
  </si>
  <si>
    <t>Point-details</t>
  </si>
  <si>
    <t>Information sur un point</t>
  </si>
  <si>
    <t>Statistiques</t>
  </si>
  <si>
    <t>Recapitulation</t>
  </si>
  <si>
    <t>Tableau recapitulatif</t>
  </si>
  <si>
    <t>Synchronisatioin</t>
  </si>
  <si>
    <t>Sync</t>
  </si>
  <si>
    <t>Bouton synchroniser (Manager)</t>
  </si>
  <si>
    <t>Recuperation des signalements</t>
  </si>
  <si>
    <t>Envoie de donnees</t>
  </si>
  <si>
    <t>Gestion des infos</t>
  </si>
  <si>
    <t>Signalements</t>
  </si>
  <si>
    <t>Liste des signalements</t>
  </si>
  <si>
    <t>Info-update</t>
  </si>
  <si>
    <t>Modification des infos</t>
  </si>
  <si>
    <t>Budget</t>
  </si>
  <si>
    <t>Evaluation budgetaire</t>
  </si>
  <si>
    <t>Status-update</t>
  </si>
  <si>
    <t>Modification des status</t>
  </si>
  <si>
    <t>Authentification</t>
  </si>
  <si>
    <t>Login</t>
  </si>
  <si>
    <t>Connexion-web</t>
  </si>
  <si>
    <t>connexion-web</t>
  </si>
  <si>
    <t>Inscription</t>
  </si>
  <si>
    <t>Inscription-web</t>
  </si>
  <si>
    <t>web</t>
  </si>
  <si>
    <t>Users-list</t>
  </si>
  <si>
    <t>listeUser</t>
  </si>
  <si>
    <t>affichage</t>
  </si>
  <si>
    <t>Users-update</t>
  </si>
  <si>
    <t>Modificationn Info Users</t>
  </si>
  <si>
    <t>Modifictaion Info Users</t>
  </si>
  <si>
    <t>Modification Info Users</t>
  </si>
  <si>
    <t>definir le duree de sessions par manager</t>
  </si>
  <si>
    <t>integration</t>
  </si>
  <si>
    <t>Alerte</t>
  </si>
  <si>
    <t>alerte-pop</t>
  </si>
  <si>
    <t>metier</t>
  </si>
  <si>
    <t>definir le limite de nombre par le manager</t>
  </si>
  <si>
    <t>blocage</t>
  </si>
  <si>
    <t>Users-bloque</t>
  </si>
  <si>
    <t>liste des utilisateurs bloque</t>
  </si>
  <si>
    <t>liste des utilisateurs bloqueintegration</t>
  </si>
  <si>
    <t>Deblocage</t>
  </si>
  <si>
    <t>deblocage des utilisateurs</t>
  </si>
  <si>
    <t>Doc</t>
  </si>
  <si>
    <t>documentation api via swagger</t>
  </si>
  <si>
    <t>Création image Docker serveur de carte offline</t>
  </si>
  <si>
    <t>Intégration</t>
  </si>
  <si>
    <t>Téléchargement données cartographiques Antananarivo</t>
  </si>
  <si>
    <t>Métier</t>
  </si>
  <si>
    <t>Intégration données cartographiques dans le serveur</t>
  </si>
  <si>
    <t>Exposition du serveur cartographique (ports)</t>
  </si>
  <si>
    <t>Mise en place de l'interface cartographique Leaflet</t>
  </si>
  <si>
    <t>Configuration Leaflet en mode offline</t>
  </si>
  <si>
    <t>Limitation de la carte à Antananarivo</t>
  </si>
  <si>
    <t>Carte</t>
  </si>
  <si>
    <t>Affichage carte offline via Leaflet</t>
  </si>
  <si>
    <t>Gestion de la navigation (zoom et déplacement) de la carte</t>
  </si>
  <si>
    <t>Frontoffice</t>
  </si>
  <si>
    <t>ecran de connexion</t>
  </si>
  <si>
    <t>Setup</t>
  </si>
  <si>
    <t>Connexion avec FirebaseIntégration</t>
  </si>
  <si>
    <t>Gestion session mobile</t>
  </si>
  <si>
    <t>Login-error</t>
  </si>
  <si>
    <t>Gestion erreurs authentification connexion</t>
  </si>
  <si>
    <t>Initialisation de leaflet</t>
  </si>
  <si>
    <t>Chargement carte en ligneIntégration</t>
  </si>
  <si>
    <t>signalement</t>
  </si>
  <si>
    <t>Location utilisateur pour un signalement</t>
  </si>
  <si>
    <t>Signalement</t>
  </si>
  <si>
    <t>Ajout signalement sur carte</t>
  </si>
  <si>
    <t>Envoir signalement Firebase</t>
  </si>
  <si>
    <t>form</t>
  </si>
  <si>
    <t>Validation formulaire</t>
  </si>
  <si>
    <t>Signalement-liste</t>
  </si>
  <si>
    <t>Liste signalements</t>
  </si>
  <si>
    <t>Filtre signalements</t>
  </si>
  <si>
    <t>Synchronisation</t>
  </si>
  <si>
    <t>Mode online</t>
  </si>
  <si>
    <t>Gestion perte réseau</t>
  </si>
  <si>
    <t>Tableau recapitulatuf</t>
  </si>
  <si>
    <t>Statistique</t>
  </si>
  <si>
    <t>ackoffice</t>
  </si>
  <si>
    <t>Installation Node / npm</t>
  </si>
  <si>
    <t>Configuration React</t>
  </si>
  <si>
    <t>Configuration Vue</t>
  </si>
  <si>
    <t>Global</t>
  </si>
  <si>
    <t>Configuration Firebase</t>
  </si>
  <si>
    <t>Données</t>
  </si>
  <si>
    <t>Somme - Estimation</t>
  </si>
  <si>
    <t>Somme - Temps passé</t>
  </si>
  <si>
    <t>Somme - Reste à faire</t>
  </si>
  <si>
    <t>Total Résultat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</si>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</sst>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%"/>
    <numFmt numFmtId="165" formatCode="0\ %"/>
    <numFmt numFmtId="166" formatCode="d/m"/>
  </numFmts>
  <fonts count="12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Arial"/>
      <charset val="1"/>
    </font>
    <font>
      <b/>
      <sz val="11"/>
      <color rgb="FF000000"/>
      <name val="Arial"/>
      <charset val="1"/>
    </font>
    <font>
      <b/>
      <sz val="11"/>
      <color rgb="FF000000"/>
      <name val="Times New Roman"/>
      <charset val="1"/>
    </font>
    <font>
      <sz val="10"/>
      <color theme="1"/>
      <name val="Arial"/>
      <charset val="1"/>
    </font>
    <font>
      <b/>
      <sz val="12"/>
      <color theme="1"/>
      <name val="Aptos Narrow"/>
      <charset val="1"/>
    </font>
    <font>
      <sz val="12"/>
      <color theme="1"/>
      <name val="Aptos Narrow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12"/>
      <color rgb="FF000000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95DCF7"/>
        <bgColor rgb="FFC9DAF8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48">
    <xf numFmtId="0" fontId="0" fillId="0" borderId="0" xfId="0"/>
    <xf numFmtId="0" fontId="2" fillId="0" borderId="0" xfId="0" applyFont="1" applyAlignment="1"/>
    <xf numFmtId="0" fontId="3" fillId="2" borderId="0" xfId="0" applyFont="1" applyFill="1" applyAlignme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5" fillId="0" borderId="0" xfId="0" applyFont="1" applyAlignment="1"/>
    <xf numFmtId="0" fontId="0" fillId="0" borderId="0" xfId="0" applyFont="1" applyAlignment="1">
      <alignment wrapText="1"/>
    </xf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0" xfId="0" applyFont="1"/>
    <xf numFmtId="0" fontId="5" fillId="0" borderId="0" xfId="0" applyFont="1"/>
    <xf numFmtId="0" fontId="11" fillId="0" borderId="2" xfId="1" applyBorder="1"/>
    <xf numFmtId="0" fontId="0" fillId="0" borderId="3" xfId="3" applyFont="1" applyBorder="1"/>
    <xf numFmtId="0" fontId="11" fillId="0" borderId="4" xfId="1" applyBorder="1"/>
    <xf numFmtId="0" fontId="11" fillId="0" borderId="5" xfId="1" applyBorder="1"/>
    <xf numFmtId="0" fontId="0" fillId="0" borderId="6" xfId="3" applyFont="1" applyBorder="1"/>
    <xf numFmtId="0" fontId="0" fillId="0" borderId="7" xfId="4" applyFont="1" applyBorder="1">
      <alignment horizontal="left"/>
    </xf>
    <xf numFmtId="0" fontId="0" fillId="0" borderId="8" xfId="4" applyFont="1" applyBorder="1">
      <alignment horizontal="left"/>
    </xf>
    <xf numFmtId="0" fontId="0" fillId="0" borderId="9" xfId="4" applyFont="1" applyBorder="1">
      <alignment horizontal="left"/>
    </xf>
    <xf numFmtId="0" fontId="0" fillId="0" borderId="10" xfId="4" applyFont="1" applyBorder="1">
      <alignment horizontal="left"/>
    </xf>
    <xf numFmtId="0" fontId="11" fillId="0" borderId="11" xfId="2" applyBorder="1"/>
    <xf numFmtId="0" fontId="11" fillId="0" borderId="12" xfId="2" applyBorder="1"/>
    <xf numFmtId="0" fontId="11" fillId="0" borderId="13" xfId="2" applyBorder="1"/>
    <xf numFmtId="0" fontId="0" fillId="0" borderId="14" xfId="4" applyFont="1" applyBorder="1">
      <alignment horizontal="left"/>
    </xf>
    <xf numFmtId="0" fontId="11" fillId="0" borderId="15" xfId="2" applyBorder="1"/>
    <xf numFmtId="0" fontId="11" fillId="0" borderId="0" xfId="2"/>
    <xf numFmtId="0" fontId="11" fillId="0" borderId="16" xfId="2" applyBorder="1"/>
    <xf numFmtId="0" fontId="11" fillId="0" borderId="7" xfId="2" applyBorder="1"/>
    <xf numFmtId="0" fontId="11" fillId="0" borderId="8" xfId="2" applyBorder="1"/>
    <xf numFmtId="0" fontId="11" fillId="0" borderId="9" xfId="2" applyBorder="1"/>
    <xf numFmtId="0" fontId="1" fillId="0" borderId="17" xfId="5" applyFont="1" applyBorder="1">
      <alignment horizontal="left"/>
    </xf>
    <xf numFmtId="0" fontId="1" fillId="0" borderId="18" xfId="6" applyBorder="1"/>
    <xf numFmtId="0" fontId="1" fillId="0" borderId="19" xfId="6" applyBorder="1"/>
    <xf numFmtId="0" fontId="1" fillId="0" borderId="20" xfId="6" applyBorder="1"/>
    <xf numFmtId="0" fontId="6" fillId="3" borderId="0" xfId="0" applyFont="1" applyFill="1" applyBorder="1" applyAlignment="1"/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7" fillId="0" borderId="0" xfId="0" applyFont="1" applyAlignment="1"/>
    <xf numFmtId="0" fontId="8" fillId="3" borderId="0" xfId="0" applyFont="1" applyFill="1" applyAlignment="1"/>
    <xf numFmtId="0" fontId="8" fillId="0" borderId="0" xfId="0" applyFont="1" applyAlignment="1"/>
    <xf numFmtId="166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10" fillId="0" borderId="0" xfId="0" applyFont="1"/>
    <xf numFmtId="0" fontId="10" fillId="0" borderId="0" xfId="0" applyFont="1" applyAlignment="1">
      <alignment wrapText="1"/>
    </xf>
    <xf numFmtId="0" fontId="0" fillId="0" borderId="0" xfId="0" applyFont="1" applyFill="1" applyBorder="1" applyAlignment="1">
      <alignment wrapText="1"/>
    </xf>
  </cellXfs>
  <cellStyles count="7">
    <cellStyle name="Catégorie de la table dynamique" xfId="4" xr:uid="{00000000-0005-0000-0000-000009000000}"/>
    <cellStyle name="Champ de la table dynamique" xfId="3" xr:uid="{00000000-0005-0000-0000-000008000000}"/>
    <cellStyle name="Coin de la table dynamique" xfId="1" xr:uid="{00000000-0005-0000-0000-000006000000}"/>
    <cellStyle name="Normal" xfId="0" builtinId="0"/>
    <cellStyle name="Résultat de la table dynamique" xfId="6" xr:uid="{00000000-0005-0000-0000-00000B000000}"/>
    <cellStyle name="Titre de la table dynamique" xfId="5" xr:uid="{00000000-0005-0000-0000-00000A000000}"/>
    <cellStyle name="Valeur de la table dynamiq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90" xr:uid="{00000000-000A-0000-FFFF-FFFF01000000}">
  <cacheSource type="worksheet">
    <worksheetSource ref="A1:K91" sheet="liste des taches"/>
  </cacheSource>
  <cacheFields count="11">
    <cacheField name="Ligne" numFmtId="0">
      <sharedItems containsSemiMixedTypes="0" containsString="0" containsNumber="1" containsInteger="1" minValue="1" maxValue="90" count="9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</cacheField>
    <cacheField name="Catégorie" numFmtId="0">
      <sharedItems count="4">
        <s v="ackoffice"/>
        <s v="Backoffice"/>
        <s v="Frontoffice"/>
        <s v="Global"/>
      </sharedItems>
    </cacheField>
    <cacheField name="Module" numFmtId="0">
      <sharedItems containsBlank="1" count="11">
        <s v="Authentification"/>
        <s v="Carte"/>
        <s v="Cartes"/>
        <s v="Gestion des infos"/>
        <s v="Setup"/>
        <s v="Signalement"/>
        <s v="Statistiques"/>
        <s v="Synchronisatioin"/>
        <s v="Synchronisation"/>
        <s v="web"/>
        <m/>
      </sharedItems>
    </cacheField>
    <cacheField name="Page" numFmtId="0">
      <sharedItems containsBlank="1" count="22">
        <s v="Alerte"/>
        <s v="Budget"/>
        <s v="Carte"/>
        <s v="Deblocage"/>
        <s v="Doc"/>
        <s v="form"/>
        <s v="Index"/>
        <s v="Info-update"/>
        <s v="Inscription"/>
        <s v="Login"/>
        <s v="Login-error"/>
        <s v="Point-details"/>
        <s v="Recapitulation"/>
        <s v="signalement"/>
        <s v="Signalement-liste"/>
        <s v="Signalements"/>
        <s v="Status-update"/>
        <s v="Sync"/>
        <s v="Users-bloque"/>
        <s v="Users-list"/>
        <s v="Users-update"/>
        <m/>
      </sharedItems>
    </cacheField>
    <cacheField name="Taches" numFmtId="0">
      <sharedItems count="53">
        <s v="Affichage carte offline via Leaflet"/>
        <s v="Ajout signalement sur carte"/>
        <s v="alerte-pop"/>
        <s v="blocage"/>
        <s v="Bouton synchroniser (Manager)"/>
        <s v="Chargement carte en ligneIntégration"/>
        <s v="Configuration Firebase"/>
        <s v="Configuration Leaflet en mode offline"/>
        <s v="Configuration React"/>
        <s v="Configuration Vue"/>
        <s v="Connexion avec FirebaseIntégration"/>
        <s v="Connexion-web"/>
        <s v="Création image Docker serveur de carte offline"/>
        <s v="deblocage des utilisateurs"/>
        <s v="definir le duree de sessions par manager"/>
        <s v="definir le limite de nombre par le manager"/>
        <s v="documentation api via swagger"/>
        <s v="ecran de connexion"/>
        <s v="Envoie de donnees"/>
        <s v="Envoir signalement Firebase"/>
        <s v="Evaluation budgetaire"/>
        <s v="Exposition du serveur cartographique (ports)"/>
        <s v="Filtre signalements"/>
        <s v="Gestion de la navigation (zoom et déplacement) de la carte"/>
        <s v="Gestion erreurs authentification connexion"/>
        <s v="Gestion perte réseau"/>
        <s v="Gestion session mobile"/>
        <s v="Information sur un point"/>
        <s v="Initialisation de leaflet"/>
        <s v="Inscription-web"/>
        <s v="Installation Node / npm"/>
        <s v="Intégration données cartographiques dans le serveur"/>
        <s v="Limitation de la carte à Antananarivo"/>
        <s v="Liste des signalements"/>
        <s v="liste des utilisateurs bloque"/>
        <s v="liste des utilisateurs bloqueintegration"/>
        <s v="Liste signalements"/>
        <s v="listeUser"/>
        <s v="Location utilisateur pour un signalement"/>
        <s v="Mise en place de l'interface cartographique Leaflet"/>
        <s v="Mode online"/>
        <s v="Modification des infos"/>
        <s v="Modification des status"/>
        <s v="Modification Info Users"/>
        <s v="Modificationn Info Users"/>
        <s v="Modifictaion Info Users"/>
        <s v="Recuperation des signalements"/>
        <s v="Statistique"/>
        <s v="Tableau recapitulatif"/>
        <s v="Tableau recapitulatuf"/>
        <s v="Téléchargement données cartographiques Antananarivo"/>
        <s v="Validation formulaire"/>
        <s v="Vue global de la carte"/>
      </sharedItems>
    </cacheField>
    <cacheField name="Type" numFmtId="0">
      <sharedItems containsBlank="1" count="6">
        <s v="Affichage"/>
        <s v="Integration"/>
        <s v="Intégration"/>
        <s v="Metier"/>
        <s v="Métier"/>
        <m/>
      </sharedItems>
    </cacheField>
    <cacheField name="Qui" numFmtId="0">
      <sharedItems count="4">
        <s v="ETU003265"/>
        <s v="ETU003324"/>
        <s v="ETU003350"/>
        <s v="ETU003371"/>
      </sharedItems>
    </cacheField>
    <cacheField name="Estimation" numFmtId="0">
      <sharedItems containsSemiMixedTypes="0" containsString="0" containsNumber="1" containsInteger="1" minValue="5" maxValue="30" count="7">
        <n v="5"/>
        <n v="10"/>
        <n v="12"/>
        <n v="15"/>
        <n v="20"/>
        <n v="25"/>
        <n v="30"/>
      </sharedItems>
    </cacheField>
    <cacheField name="Temps passé" numFmtId="0">
      <sharedItems containsString="0" containsBlank="1" containsNumber="1" containsInteger="1" minValue="10" maxValue="35" count="7">
        <n v="10"/>
        <n v="15"/>
        <n v="18"/>
        <n v="20"/>
        <n v="30"/>
        <n v="35"/>
        <m/>
      </sharedItems>
    </cacheField>
    <cacheField name="Reste à faire" numFmtId="0">
      <sharedItems containsSemiMixedTypes="0" containsString="0" containsNumber="1" containsInteger="1" minValue="-10" maxValue="30" count="11">
        <n v="-10"/>
        <n v="-5"/>
        <n v="-3"/>
        <n v="0"/>
        <n v="5"/>
        <n v="10"/>
        <n v="12"/>
        <n v="15"/>
        <n v="20"/>
        <n v="25"/>
        <n v="30"/>
      </sharedItems>
    </cacheField>
    <cacheField name="Avancement" numFmtId="0">
      <sharedItems containsSemiMixedTypes="0" containsString="0" containsNumber="1" minValue="0" maxValue="1.4" count="4">
        <n v="0"/>
        <n v="1"/>
        <n v="1.2"/>
        <n v="1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x v="1"/>
    <x v="2"/>
    <x v="6"/>
    <x v="52"/>
    <x v="0"/>
    <x v="0"/>
    <x v="3"/>
    <x v="1"/>
    <x v="3"/>
    <x v="1"/>
  </r>
  <r>
    <x v="1"/>
    <x v="1"/>
    <x v="2"/>
    <x v="6"/>
    <x v="52"/>
    <x v="3"/>
    <x v="0"/>
    <x v="3"/>
    <x v="1"/>
    <x v="3"/>
    <x v="1"/>
  </r>
  <r>
    <x v="2"/>
    <x v="1"/>
    <x v="2"/>
    <x v="6"/>
    <x v="52"/>
    <x v="1"/>
    <x v="0"/>
    <x v="4"/>
    <x v="3"/>
    <x v="3"/>
    <x v="1"/>
  </r>
  <r>
    <x v="3"/>
    <x v="1"/>
    <x v="2"/>
    <x v="11"/>
    <x v="27"/>
    <x v="0"/>
    <x v="1"/>
    <x v="5"/>
    <x v="6"/>
    <x v="9"/>
    <x v="0"/>
  </r>
  <r>
    <x v="4"/>
    <x v="1"/>
    <x v="2"/>
    <x v="11"/>
    <x v="27"/>
    <x v="3"/>
    <x v="1"/>
    <x v="3"/>
    <x v="6"/>
    <x v="7"/>
    <x v="0"/>
  </r>
  <r>
    <x v="5"/>
    <x v="1"/>
    <x v="2"/>
    <x v="11"/>
    <x v="27"/>
    <x v="1"/>
    <x v="1"/>
    <x v="4"/>
    <x v="6"/>
    <x v="8"/>
    <x v="0"/>
  </r>
  <r>
    <x v="6"/>
    <x v="1"/>
    <x v="6"/>
    <x v="12"/>
    <x v="48"/>
    <x v="0"/>
    <x v="2"/>
    <x v="4"/>
    <x v="3"/>
    <x v="3"/>
    <x v="1"/>
  </r>
  <r>
    <x v="7"/>
    <x v="1"/>
    <x v="6"/>
    <x v="12"/>
    <x v="48"/>
    <x v="3"/>
    <x v="2"/>
    <x v="3"/>
    <x v="1"/>
    <x v="3"/>
    <x v="1"/>
  </r>
  <r>
    <x v="8"/>
    <x v="1"/>
    <x v="6"/>
    <x v="12"/>
    <x v="48"/>
    <x v="1"/>
    <x v="2"/>
    <x v="3"/>
    <x v="1"/>
    <x v="3"/>
    <x v="1"/>
  </r>
  <r>
    <x v="9"/>
    <x v="1"/>
    <x v="7"/>
    <x v="17"/>
    <x v="4"/>
    <x v="0"/>
    <x v="3"/>
    <x v="0"/>
    <x v="6"/>
    <x v="4"/>
    <x v="0"/>
  </r>
  <r>
    <x v="10"/>
    <x v="1"/>
    <x v="7"/>
    <x v="17"/>
    <x v="46"/>
    <x v="3"/>
    <x v="3"/>
    <x v="4"/>
    <x v="6"/>
    <x v="8"/>
    <x v="0"/>
  </r>
  <r>
    <x v="11"/>
    <x v="1"/>
    <x v="7"/>
    <x v="17"/>
    <x v="46"/>
    <x v="1"/>
    <x v="3"/>
    <x v="3"/>
    <x v="6"/>
    <x v="7"/>
    <x v="0"/>
  </r>
  <r>
    <x v="12"/>
    <x v="1"/>
    <x v="7"/>
    <x v="17"/>
    <x v="18"/>
    <x v="3"/>
    <x v="3"/>
    <x v="4"/>
    <x v="6"/>
    <x v="8"/>
    <x v="0"/>
  </r>
  <r>
    <x v="13"/>
    <x v="1"/>
    <x v="7"/>
    <x v="17"/>
    <x v="18"/>
    <x v="1"/>
    <x v="3"/>
    <x v="3"/>
    <x v="6"/>
    <x v="7"/>
    <x v="0"/>
  </r>
  <r>
    <x v="14"/>
    <x v="1"/>
    <x v="3"/>
    <x v="15"/>
    <x v="33"/>
    <x v="0"/>
    <x v="0"/>
    <x v="3"/>
    <x v="6"/>
    <x v="7"/>
    <x v="0"/>
  </r>
  <r>
    <x v="15"/>
    <x v="1"/>
    <x v="3"/>
    <x v="15"/>
    <x v="33"/>
    <x v="3"/>
    <x v="0"/>
    <x v="3"/>
    <x v="6"/>
    <x v="7"/>
    <x v="0"/>
  </r>
  <r>
    <x v="16"/>
    <x v="1"/>
    <x v="3"/>
    <x v="15"/>
    <x v="33"/>
    <x v="1"/>
    <x v="0"/>
    <x v="3"/>
    <x v="6"/>
    <x v="7"/>
    <x v="0"/>
  </r>
  <r>
    <x v="17"/>
    <x v="1"/>
    <x v="3"/>
    <x v="7"/>
    <x v="41"/>
    <x v="0"/>
    <x v="1"/>
    <x v="3"/>
    <x v="6"/>
    <x v="7"/>
    <x v="0"/>
  </r>
  <r>
    <x v="18"/>
    <x v="1"/>
    <x v="3"/>
    <x v="7"/>
    <x v="41"/>
    <x v="3"/>
    <x v="1"/>
    <x v="3"/>
    <x v="6"/>
    <x v="7"/>
    <x v="0"/>
  </r>
  <r>
    <x v="19"/>
    <x v="1"/>
    <x v="3"/>
    <x v="7"/>
    <x v="41"/>
    <x v="1"/>
    <x v="1"/>
    <x v="3"/>
    <x v="6"/>
    <x v="7"/>
    <x v="0"/>
  </r>
  <r>
    <x v="20"/>
    <x v="1"/>
    <x v="3"/>
    <x v="1"/>
    <x v="20"/>
    <x v="0"/>
    <x v="2"/>
    <x v="4"/>
    <x v="6"/>
    <x v="8"/>
    <x v="0"/>
  </r>
  <r>
    <x v="21"/>
    <x v="1"/>
    <x v="3"/>
    <x v="1"/>
    <x v="20"/>
    <x v="3"/>
    <x v="2"/>
    <x v="4"/>
    <x v="6"/>
    <x v="8"/>
    <x v="0"/>
  </r>
  <r>
    <x v="22"/>
    <x v="1"/>
    <x v="3"/>
    <x v="1"/>
    <x v="20"/>
    <x v="1"/>
    <x v="2"/>
    <x v="4"/>
    <x v="6"/>
    <x v="8"/>
    <x v="0"/>
  </r>
  <r>
    <x v="23"/>
    <x v="1"/>
    <x v="3"/>
    <x v="16"/>
    <x v="42"/>
    <x v="0"/>
    <x v="3"/>
    <x v="3"/>
    <x v="6"/>
    <x v="7"/>
    <x v="0"/>
  </r>
  <r>
    <x v="24"/>
    <x v="1"/>
    <x v="3"/>
    <x v="16"/>
    <x v="42"/>
    <x v="3"/>
    <x v="3"/>
    <x v="3"/>
    <x v="6"/>
    <x v="7"/>
    <x v="0"/>
  </r>
  <r>
    <x v="25"/>
    <x v="1"/>
    <x v="3"/>
    <x v="16"/>
    <x v="42"/>
    <x v="1"/>
    <x v="3"/>
    <x v="3"/>
    <x v="6"/>
    <x v="7"/>
    <x v="0"/>
  </r>
  <r>
    <x v="26"/>
    <x v="1"/>
    <x v="0"/>
    <x v="9"/>
    <x v="11"/>
    <x v="0"/>
    <x v="0"/>
    <x v="1"/>
    <x v="0"/>
    <x v="3"/>
    <x v="1"/>
  </r>
  <r>
    <x v="27"/>
    <x v="1"/>
    <x v="0"/>
    <x v="9"/>
    <x v="11"/>
    <x v="3"/>
    <x v="0"/>
    <x v="3"/>
    <x v="1"/>
    <x v="3"/>
    <x v="1"/>
  </r>
  <r>
    <x v="28"/>
    <x v="1"/>
    <x v="0"/>
    <x v="9"/>
    <x v="11"/>
    <x v="1"/>
    <x v="0"/>
    <x v="3"/>
    <x v="1"/>
    <x v="3"/>
    <x v="1"/>
  </r>
  <r>
    <x v="29"/>
    <x v="1"/>
    <x v="0"/>
    <x v="8"/>
    <x v="29"/>
    <x v="0"/>
    <x v="1"/>
    <x v="1"/>
    <x v="0"/>
    <x v="3"/>
    <x v="1"/>
  </r>
  <r>
    <x v="30"/>
    <x v="1"/>
    <x v="0"/>
    <x v="8"/>
    <x v="29"/>
    <x v="3"/>
    <x v="1"/>
    <x v="3"/>
    <x v="1"/>
    <x v="3"/>
    <x v="1"/>
  </r>
  <r>
    <x v="31"/>
    <x v="1"/>
    <x v="0"/>
    <x v="8"/>
    <x v="29"/>
    <x v="1"/>
    <x v="1"/>
    <x v="3"/>
    <x v="1"/>
    <x v="3"/>
    <x v="1"/>
  </r>
  <r>
    <x v="32"/>
    <x v="1"/>
    <x v="9"/>
    <x v="19"/>
    <x v="37"/>
    <x v="0"/>
    <x v="2"/>
    <x v="1"/>
    <x v="6"/>
    <x v="5"/>
    <x v="0"/>
  </r>
  <r>
    <x v="33"/>
    <x v="1"/>
    <x v="9"/>
    <x v="19"/>
    <x v="37"/>
    <x v="3"/>
    <x v="2"/>
    <x v="3"/>
    <x v="6"/>
    <x v="7"/>
    <x v="0"/>
  </r>
  <r>
    <x v="34"/>
    <x v="1"/>
    <x v="9"/>
    <x v="19"/>
    <x v="37"/>
    <x v="1"/>
    <x v="2"/>
    <x v="3"/>
    <x v="6"/>
    <x v="7"/>
    <x v="0"/>
  </r>
  <r>
    <x v="35"/>
    <x v="1"/>
    <x v="9"/>
    <x v="20"/>
    <x v="44"/>
    <x v="0"/>
    <x v="3"/>
    <x v="1"/>
    <x v="6"/>
    <x v="5"/>
    <x v="0"/>
  </r>
  <r>
    <x v="36"/>
    <x v="1"/>
    <x v="9"/>
    <x v="20"/>
    <x v="45"/>
    <x v="3"/>
    <x v="3"/>
    <x v="4"/>
    <x v="6"/>
    <x v="8"/>
    <x v="0"/>
  </r>
  <r>
    <x v="37"/>
    <x v="1"/>
    <x v="9"/>
    <x v="20"/>
    <x v="43"/>
    <x v="1"/>
    <x v="3"/>
    <x v="4"/>
    <x v="6"/>
    <x v="8"/>
    <x v="0"/>
  </r>
  <r>
    <x v="38"/>
    <x v="1"/>
    <x v="9"/>
    <x v="21"/>
    <x v="14"/>
    <x v="0"/>
    <x v="0"/>
    <x v="3"/>
    <x v="6"/>
    <x v="7"/>
    <x v="0"/>
  </r>
  <r>
    <x v="39"/>
    <x v="1"/>
    <x v="9"/>
    <x v="21"/>
    <x v="14"/>
    <x v="3"/>
    <x v="0"/>
    <x v="4"/>
    <x v="6"/>
    <x v="8"/>
    <x v="0"/>
  </r>
  <r>
    <x v="40"/>
    <x v="1"/>
    <x v="9"/>
    <x v="21"/>
    <x v="14"/>
    <x v="1"/>
    <x v="0"/>
    <x v="2"/>
    <x v="6"/>
    <x v="6"/>
    <x v="0"/>
  </r>
  <r>
    <x v="41"/>
    <x v="1"/>
    <x v="0"/>
    <x v="0"/>
    <x v="2"/>
    <x v="0"/>
    <x v="1"/>
    <x v="3"/>
    <x v="6"/>
    <x v="7"/>
    <x v="0"/>
  </r>
  <r>
    <x v="42"/>
    <x v="1"/>
    <x v="0"/>
    <x v="0"/>
    <x v="2"/>
    <x v="3"/>
    <x v="1"/>
    <x v="4"/>
    <x v="6"/>
    <x v="8"/>
    <x v="0"/>
  </r>
  <r>
    <x v="43"/>
    <x v="1"/>
    <x v="0"/>
    <x v="0"/>
    <x v="2"/>
    <x v="1"/>
    <x v="1"/>
    <x v="4"/>
    <x v="6"/>
    <x v="8"/>
    <x v="0"/>
  </r>
  <r>
    <x v="44"/>
    <x v="1"/>
    <x v="9"/>
    <x v="21"/>
    <x v="15"/>
    <x v="0"/>
    <x v="2"/>
    <x v="1"/>
    <x v="6"/>
    <x v="5"/>
    <x v="0"/>
  </r>
  <r>
    <x v="45"/>
    <x v="1"/>
    <x v="9"/>
    <x v="21"/>
    <x v="15"/>
    <x v="3"/>
    <x v="2"/>
    <x v="3"/>
    <x v="6"/>
    <x v="7"/>
    <x v="0"/>
  </r>
  <r>
    <x v="46"/>
    <x v="1"/>
    <x v="9"/>
    <x v="21"/>
    <x v="15"/>
    <x v="1"/>
    <x v="2"/>
    <x v="3"/>
    <x v="6"/>
    <x v="7"/>
    <x v="0"/>
  </r>
  <r>
    <x v="47"/>
    <x v="1"/>
    <x v="0"/>
    <x v="21"/>
    <x v="3"/>
    <x v="3"/>
    <x v="3"/>
    <x v="6"/>
    <x v="6"/>
    <x v="10"/>
    <x v="0"/>
  </r>
  <r>
    <x v="48"/>
    <x v="1"/>
    <x v="0"/>
    <x v="21"/>
    <x v="3"/>
    <x v="1"/>
    <x v="3"/>
    <x v="4"/>
    <x v="6"/>
    <x v="8"/>
    <x v="0"/>
  </r>
  <r>
    <x v="49"/>
    <x v="1"/>
    <x v="9"/>
    <x v="18"/>
    <x v="34"/>
    <x v="0"/>
    <x v="0"/>
    <x v="3"/>
    <x v="6"/>
    <x v="7"/>
    <x v="0"/>
  </r>
  <r>
    <x v="50"/>
    <x v="1"/>
    <x v="9"/>
    <x v="18"/>
    <x v="34"/>
    <x v="3"/>
    <x v="0"/>
    <x v="3"/>
    <x v="6"/>
    <x v="7"/>
    <x v="0"/>
  </r>
  <r>
    <x v="51"/>
    <x v="1"/>
    <x v="9"/>
    <x v="18"/>
    <x v="35"/>
    <x v="5"/>
    <x v="0"/>
    <x v="3"/>
    <x v="6"/>
    <x v="7"/>
    <x v="0"/>
  </r>
  <r>
    <x v="52"/>
    <x v="1"/>
    <x v="9"/>
    <x v="3"/>
    <x v="13"/>
    <x v="0"/>
    <x v="1"/>
    <x v="1"/>
    <x v="6"/>
    <x v="5"/>
    <x v="0"/>
  </r>
  <r>
    <x v="53"/>
    <x v="1"/>
    <x v="9"/>
    <x v="3"/>
    <x v="13"/>
    <x v="3"/>
    <x v="1"/>
    <x v="4"/>
    <x v="6"/>
    <x v="8"/>
    <x v="0"/>
  </r>
  <r>
    <x v="54"/>
    <x v="1"/>
    <x v="9"/>
    <x v="3"/>
    <x v="13"/>
    <x v="1"/>
    <x v="1"/>
    <x v="3"/>
    <x v="6"/>
    <x v="7"/>
    <x v="0"/>
  </r>
  <r>
    <x v="55"/>
    <x v="1"/>
    <x v="9"/>
    <x v="4"/>
    <x v="16"/>
    <x v="0"/>
    <x v="2"/>
    <x v="4"/>
    <x v="6"/>
    <x v="8"/>
    <x v="0"/>
  </r>
  <r>
    <x v="56"/>
    <x v="1"/>
    <x v="9"/>
    <x v="4"/>
    <x v="16"/>
    <x v="3"/>
    <x v="2"/>
    <x v="6"/>
    <x v="6"/>
    <x v="10"/>
    <x v="0"/>
  </r>
  <r>
    <x v="57"/>
    <x v="1"/>
    <x v="9"/>
    <x v="4"/>
    <x v="16"/>
    <x v="1"/>
    <x v="2"/>
    <x v="4"/>
    <x v="6"/>
    <x v="8"/>
    <x v="0"/>
  </r>
  <r>
    <x v="58"/>
    <x v="1"/>
    <x v="2"/>
    <x v="21"/>
    <x v="12"/>
    <x v="2"/>
    <x v="3"/>
    <x v="5"/>
    <x v="4"/>
    <x v="1"/>
    <x v="2"/>
  </r>
  <r>
    <x v="59"/>
    <x v="1"/>
    <x v="2"/>
    <x v="21"/>
    <x v="50"/>
    <x v="4"/>
    <x v="3"/>
    <x v="5"/>
    <x v="5"/>
    <x v="0"/>
    <x v="3"/>
  </r>
  <r>
    <x v="60"/>
    <x v="1"/>
    <x v="2"/>
    <x v="21"/>
    <x v="31"/>
    <x v="2"/>
    <x v="3"/>
    <x v="3"/>
    <x v="2"/>
    <x v="2"/>
    <x v="2"/>
  </r>
  <r>
    <x v="61"/>
    <x v="1"/>
    <x v="2"/>
    <x v="21"/>
    <x v="21"/>
    <x v="2"/>
    <x v="3"/>
    <x v="1"/>
    <x v="0"/>
    <x v="3"/>
    <x v="1"/>
  </r>
  <r>
    <x v="62"/>
    <x v="1"/>
    <x v="2"/>
    <x v="21"/>
    <x v="39"/>
    <x v="0"/>
    <x v="0"/>
    <x v="3"/>
    <x v="1"/>
    <x v="3"/>
    <x v="1"/>
  </r>
  <r>
    <x v="63"/>
    <x v="1"/>
    <x v="2"/>
    <x v="21"/>
    <x v="7"/>
    <x v="2"/>
    <x v="0"/>
    <x v="6"/>
    <x v="4"/>
    <x v="3"/>
    <x v="1"/>
  </r>
  <r>
    <x v="64"/>
    <x v="1"/>
    <x v="2"/>
    <x v="21"/>
    <x v="32"/>
    <x v="4"/>
    <x v="0"/>
    <x v="1"/>
    <x v="0"/>
    <x v="3"/>
    <x v="1"/>
  </r>
  <r>
    <x v="65"/>
    <x v="1"/>
    <x v="2"/>
    <x v="2"/>
    <x v="0"/>
    <x v="0"/>
    <x v="1"/>
    <x v="1"/>
    <x v="0"/>
    <x v="3"/>
    <x v="1"/>
  </r>
  <r>
    <x v="66"/>
    <x v="1"/>
    <x v="2"/>
    <x v="2"/>
    <x v="23"/>
    <x v="4"/>
    <x v="1"/>
    <x v="3"/>
    <x v="1"/>
    <x v="3"/>
    <x v="1"/>
  </r>
  <r>
    <x v="67"/>
    <x v="2"/>
    <x v="0"/>
    <x v="9"/>
    <x v="17"/>
    <x v="0"/>
    <x v="2"/>
    <x v="4"/>
    <x v="3"/>
    <x v="3"/>
    <x v="1"/>
  </r>
  <r>
    <x v="68"/>
    <x v="2"/>
    <x v="4"/>
    <x v="21"/>
    <x v="10"/>
    <x v="5"/>
    <x v="2"/>
    <x v="6"/>
    <x v="4"/>
    <x v="3"/>
    <x v="1"/>
  </r>
  <r>
    <x v="69"/>
    <x v="2"/>
    <x v="0"/>
    <x v="21"/>
    <x v="26"/>
    <x v="4"/>
    <x v="2"/>
    <x v="3"/>
    <x v="6"/>
    <x v="7"/>
    <x v="0"/>
  </r>
  <r>
    <x v="70"/>
    <x v="2"/>
    <x v="0"/>
    <x v="10"/>
    <x v="24"/>
    <x v="4"/>
    <x v="2"/>
    <x v="1"/>
    <x v="0"/>
    <x v="3"/>
    <x v="1"/>
  </r>
  <r>
    <x v="71"/>
    <x v="2"/>
    <x v="1"/>
    <x v="2"/>
    <x v="28"/>
    <x v="0"/>
    <x v="0"/>
    <x v="4"/>
    <x v="6"/>
    <x v="8"/>
    <x v="0"/>
  </r>
  <r>
    <x v="72"/>
    <x v="2"/>
    <x v="1"/>
    <x v="2"/>
    <x v="5"/>
    <x v="5"/>
    <x v="0"/>
    <x v="4"/>
    <x v="6"/>
    <x v="8"/>
    <x v="0"/>
  </r>
  <r>
    <x v="73"/>
    <x v="2"/>
    <x v="1"/>
    <x v="13"/>
    <x v="38"/>
    <x v="4"/>
    <x v="0"/>
    <x v="3"/>
    <x v="6"/>
    <x v="7"/>
    <x v="0"/>
  </r>
  <r>
    <x v="74"/>
    <x v="2"/>
    <x v="5"/>
    <x v="13"/>
    <x v="1"/>
    <x v="0"/>
    <x v="1"/>
    <x v="4"/>
    <x v="6"/>
    <x v="8"/>
    <x v="0"/>
  </r>
  <r>
    <x v="75"/>
    <x v="2"/>
    <x v="5"/>
    <x v="13"/>
    <x v="19"/>
    <x v="2"/>
    <x v="1"/>
    <x v="5"/>
    <x v="6"/>
    <x v="9"/>
    <x v="0"/>
  </r>
  <r>
    <x v="76"/>
    <x v="2"/>
    <x v="5"/>
    <x v="5"/>
    <x v="51"/>
    <x v="4"/>
    <x v="1"/>
    <x v="1"/>
    <x v="6"/>
    <x v="5"/>
    <x v="0"/>
  </r>
  <r>
    <x v="77"/>
    <x v="2"/>
    <x v="5"/>
    <x v="14"/>
    <x v="36"/>
    <x v="0"/>
    <x v="2"/>
    <x v="1"/>
    <x v="6"/>
    <x v="5"/>
    <x v="0"/>
  </r>
  <r>
    <x v="78"/>
    <x v="2"/>
    <x v="5"/>
    <x v="14"/>
    <x v="22"/>
    <x v="4"/>
    <x v="0"/>
    <x v="3"/>
    <x v="6"/>
    <x v="7"/>
    <x v="0"/>
  </r>
  <r>
    <x v="79"/>
    <x v="2"/>
    <x v="8"/>
    <x v="17"/>
    <x v="40"/>
    <x v="2"/>
    <x v="1"/>
    <x v="4"/>
    <x v="6"/>
    <x v="8"/>
    <x v="0"/>
  </r>
  <r>
    <x v="80"/>
    <x v="2"/>
    <x v="8"/>
    <x v="17"/>
    <x v="25"/>
    <x v="4"/>
    <x v="3"/>
    <x v="4"/>
    <x v="6"/>
    <x v="8"/>
    <x v="0"/>
  </r>
  <r>
    <x v="81"/>
    <x v="2"/>
    <x v="8"/>
    <x v="17"/>
    <x v="49"/>
    <x v="0"/>
    <x v="3"/>
    <x v="3"/>
    <x v="6"/>
    <x v="7"/>
    <x v="0"/>
  </r>
  <r>
    <x v="82"/>
    <x v="2"/>
    <x v="8"/>
    <x v="17"/>
    <x v="47"/>
    <x v="4"/>
    <x v="3"/>
    <x v="4"/>
    <x v="6"/>
    <x v="8"/>
    <x v="0"/>
  </r>
  <r>
    <x v="83"/>
    <x v="0"/>
    <x v="4"/>
    <x v="21"/>
    <x v="30"/>
    <x v="4"/>
    <x v="0"/>
    <x v="1"/>
    <x v="0"/>
    <x v="3"/>
    <x v="1"/>
  </r>
  <r>
    <x v="84"/>
    <x v="0"/>
    <x v="4"/>
    <x v="21"/>
    <x v="30"/>
    <x v="4"/>
    <x v="1"/>
    <x v="1"/>
    <x v="0"/>
    <x v="3"/>
    <x v="1"/>
  </r>
  <r>
    <x v="85"/>
    <x v="0"/>
    <x v="4"/>
    <x v="21"/>
    <x v="30"/>
    <x v="4"/>
    <x v="2"/>
    <x v="1"/>
    <x v="0"/>
    <x v="3"/>
    <x v="1"/>
  </r>
  <r>
    <x v="86"/>
    <x v="0"/>
    <x v="4"/>
    <x v="21"/>
    <x v="30"/>
    <x v="4"/>
    <x v="3"/>
    <x v="1"/>
    <x v="0"/>
    <x v="3"/>
    <x v="1"/>
  </r>
  <r>
    <x v="87"/>
    <x v="1"/>
    <x v="4"/>
    <x v="21"/>
    <x v="8"/>
    <x v="4"/>
    <x v="0"/>
    <x v="3"/>
    <x v="1"/>
    <x v="3"/>
    <x v="1"/>
  </r>
  <r>
    <x v="88"/>
    <x v="2"/>
    <x v="4"/>
    <x v="21"/>
    <x v="9"/>
    <x v="4"/>
    <x v="1"/>
    <x v="3"/>
    <x v="1"/>
    <x v="3"/>
    <x v="1"/>
  </r>
  <r>
    <x v="89"/>
    <x v="3"/>
    <x v="10"/>
    <x v="21"/>
    <x v="6"/>
    <x v="2"/>
    <x v="2"/>
    <x v="4"/>
    <x v="3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aPilot2" cacheId="0" applyNumberFormats="0" applyBorderFormats="0" applyFontFormats="0" applyPatternFormats="0" applyAlignmentFormats="0" applyWidthHeightFormats="0" dataCaption="Values" showDrill="0" itemPrintTitles="1" indent="0" compact="0" compactData="0">
  <location ref="A1:D7" firstHeaderRow="1" firstDataRow="2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dataField="1" compact="0" outline="0" showAll="0"/>
    <pivotField dataField="1" compact="0" outline="0" showAll="0"/>
    <pivotField dataField="1" compact="0" outline="0" showAll="0"/>
    <pivotField compact="0" showAll="0"/>
  </pivotFields>
  <rowFields count="1">
    <field x="6"/>
  </rowFields>
  <colFields count="1">
    <field x="-2"/>
  </colFields>
  <dataFields count="3">
    <dataField name="Somme - Estimation" fld="7" baseField="0" baseItem="0"/>
    <dataField name="Somme - Temps passé" fld="8" baseField="0" baseItem="0"/>
    <dataField name="Somme - Reste à faire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2" sqref="B2"/>
    </sheetView>
  </sheetViews>
  <sheetFormatPr baseColWidth="10" defaultColWidth="12.5703125" defaultRowHeight="12.75"/>
  <sheetData>
    <row r="1" spans="1:2" ht="14.25">
      <c r="A1" s="1" t="s">
        <v>0</v>
      </c>
      <c r="B1" s="1" t="s">
        <v>1</v>
      </c>
    </row>
    <row r="2" spans="1:2" ht="14.25">
      <c r="A2" s="1" t="s">
        <v>2</v>
      </c>
      <c r="B2" s="1" t="s">
        <v>3</v>
      </c>
    </row>
    <row r="3" spans="1:2" ht="14.25">
      <c r="A3" s="1" t="s">
        <v>4</v>
      </c>
      <c r="B3" s="1" t="s">
        <v>5</v>
      </c>
    </row>
    <row r="4" spans="1:2" ht="14.25">
      <c r="A4" s="1" t="s">
        <v>6</v>
      </c>
      <c r="B4" s="1" t="s">
        <v>7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topLeftCell="A88" zoomScaleNormal="100" workbookViewId="0">
      <selection activeCell="I63" sqref="I63"/>
    </sheetView>
  </sheetViews>
  <sheetFormatPr baseColWidth="10" defaultColWidth="12.5703125" defaultRowHeight="12.75"/>
  <cols>
    <col min="1" max="1" width="5.85546875" customWidth="1"/>
    <col min="2" max="2" width="19" customWidth="1"/>
    <col min="3" max="3" width="18" customWidth="1"/>
    <col min="5" max="5" width="44.85546875" customWidth="1"/>
  </cols>
  <sheetData>
    <row r="1" spans="1:11" ht="15">
      <c r="A1" s="2" t="s">
        <v>8</v>
      </c>
      <c r="B1" s="3" t="s">
        <v>9</v>
      </c>
      <c r="C1" s="3" t="s">
        <v>10</v>
      </c>
      <c r="D1" s="3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>
      <c r="A2" s="5">
        <v>1</v>
      </c>
      <c r="B2" s="6" t="s">
        <v>19</v>
      </c>
      <c r="C2" s="6" t="s">
        <v>20</v>
      </c>
      <c r="D2" s="7" t="s">
        <v>21</v>
      </c>
      <c r="E2" s="6" t="s">
        <v>22</v>
      </c>
      <c r="F2" s="6" t="s">
        <v>23</v>
      </c>
      <c r="G2" s="6" t="s">
        <v>0</v>
      </c>
      <c r="H2" s="6">
        <v>15</v>
      </c>
      <c r="I2" s="6">
        <v>15</v>
      </c>
      <c r="J2" s="8">
        <f t="shared" ref="J2:J33" si="0">H2-I2</f>
        <v>0</v>
      </c>
      <c r="K2" s="9">
        <f t="shared" ref="K2:K33" si="1">(I2/(I2+J2))</f>
        <v>1</v>
      </c>
    </row>
    <row r="3" spans="1:11">
      <c r="A3" s="5">
        <v>2</v>
      </c>
      <c r="B3" s="6" t="s">
        <v>19</v>
      </c>
      <c r="C3" s="6" t="s">
        <v>20</v>
      </c>
      <c r="D3" s="7" t="s">
        <v>21</v>
      </c>
      <c r="E3" s="6" t="s">
        <v>22</v>
      </c>
      <c r="F3" s="6" t="s">
        <v>24</v>
      </c>
      <c r="G3" s="6" t="s">
        <v>0</v>
      </c>
      <c r="H3" s="6">
        <v>15</v>
      </c>
      <c r="I3" s="6">
        <v>15</v>
      </c>
      <c r="J3" s="8">
        <f t="shared" si="0"/>
        <v>0</v>
      </c>
      <c r="K3" s="9">
        <f t="shared" si="1"/>
        <v>1</v>
      </c>
    </row>
    <row r="4" spans="1:11">
      <c r="A4" s="5">
        <v>3</v>
      </c>
      <c r="B4" s="6" t="s">
        <v>19</v>
      </c>
      <c r="C4" s="6" t="s">
        <v>20</v>
      </c>
      <c r="D4" s="7" t="s">
        <v>21</v>
      </c>
      <c r="E4" s="6" t="s">
        <v>22</v>
      </c>
      <c r="F4" s="6" t="s">
        <v>25</v>
      </c>
      <c r="G4" s="6" t="s">
        <v>0</v>
      </c>
      <c r="H4" s="6">
        <v>20</v>
      </c>
      <c r="I4" s="6">
        <v>20</v>
      </c>
      <c r="J4" s="8">
        <f t="shared" si="0"/>
        <v>0</v>
      </c>
      <c r="K4" s="9">
        <f t="shared" si="1"/>
        <v>1</v>
      </c>
    </row>
    <row r="5" spans="1:11">
      <c r="A5" s="5">
        <v>4</v>
      </c>
      <c r="B5" s="6" t="s">
        <v>19</v>
      </c>
      <c r="C5" s="6" t="s">
        <v>20</v>
      </c>
      <c r="D5" s="7" t="s">
        <v>26</v>
      </c>
      <c r="E5" s="6" t="s">
        <v>27</v>
      </c>
      <c r="F5" s="6" t="s">
        <v>23</v>
      </c>
      <c r="G5" s="6" t="s">
        <v>2</v>
      </c>
      <c r="H5" s="6">
        <v>45</v>
      </c>
      <c r="I5" s="47">
        <v>45</v>
      </c>
      <c r="J5" s="8">
        <f t="shared" si="0"/>
        <v>0</v>
      </c>
      <c r="K5" s="9">
        <f t="shared" si="1"/>
        <v>1</v>
      </c>
    </row>
    <row r="6" spans="1:11">
      <c r="A6" s="5">
        <v>5</v>
      </c>
      <c r="B6" s="6" t="s">
        <v>19</v>
      </c>
      <c r="C6" s="6" t="s">
        <v>20</v>
      </c>
      <c r="D6" s="7" t="s">
        <v>26</v>
      </c>
      <c r="E6" s="6" t="s">
        <v>27</v>
      </c>
      <c r="F6" s="6" t="s">
        <v>24</v>
      </c>
      <c r="G6" s="6" t="s">
        <v>2</v>
      </c>
      <c r="H6" s="6">
        <v>20</v>
      </c>
      <c r="I6" s="47">
        <v>20</v>
      </c>
      <c r="J6" s="8">
        <f t="shared" si="0"/>
        <v>0</v>
      </c>
      <c r="K6" s="9">
        <f t="shared" si="1"/>
        <v>1</v>
      </c>
    </row>
    <row r="7" spans="1:11">
      <c r="A7" s="5">
        <v>6</v>
      </c>
      <c r="B7" s="6" t="s">
        <v>19</v>
      </c>
      <c r="C7" s="6" t="s">
        <v>20</v>
      </c>
      <c r="D7" s="7" t="s">
        <v>26</v>
      </c>
      <c r="E7" s="6" t="s">
        <v>27</v>
      </c>
      <c r="F7" s="6" t="s">
        <v>25</v>
      </c>
      <c r="G7" s="6" t="s">
        <v>2</v>
      </c>
      <c r="H7" s="6">
        <v>20</v>
      </c>
      <c r="I7" s="47">
        <v>20</v>
      </c>
      <c r="J7" s="8">
        <f t="shared" si="0"/>
        <v>0</v>
      </c>
      <c r="K7" s="9">
        <f t="shared" si="1"/>
        <v>1</v>
      </c>
    </row>
    <row r="8" spans="1:11">
      <c r="A8" s="5">
        <v>7</v>
      </c>
      <c r="B8" s="6" t="s">
        <v>19</v>
      </c>
      <c r="C8" s="6" t="s">
        <v>28</v>
      </c>
      <c r="D8" s="7" t="s">
        <v>29</v>
      </c>
      <c r="E8" s="6" t="s">
        <v>30</v>
      </c>
      <c r="F8" s="6" t="s">
        <v>23</v>
      </c>
      <c r="G8" s="6" t="s">
        <v>4</v>
      </c>
      <c r="H8" s="6">
        <v>20</v>
      </c>
      <c r="I8" s="6">
        <v>20</v>
      </c>
      <c r="J8" s="8">
        <f t="shared" si="0"/>
        <v>0</v>
      </c>
      <c r="K8" s="9">
        <f t="shared" si="1"/>
        <v>1</v>
      </c>
    </row>
    <row r="9" spans="1:11">
      <c r="A9" s="5">
        <v>8</v>
      </c>
      <c r="B9" s="6" t="s">
        <v>19</v>
      </c>
      <c r="C9" s="6" t="s">
        <v>28</v>
      </c>
      <c r="D9" s="7" t="s">
        <v>29</v>
      </c>
      <c r="E9" s="6" t="s">
        <v>30</v>
      </c>
      <c r="F9" s="6" t="s">
        <v>24</v>
      </c>
      <c r="G9" s="6" t="s">
        <v>4</v>
      </c>
      <c r="H9" s="6">
        <v>15</v>
      </c>
      <c r="I9" s="6">
        <v>15</v>
      </c>
      <c r="J9" s="8">
        <f t="shared" si="0"/>
        <v>0</v>
      </c>
      <c r="K9" s="9">
        <f t="shared" si="1"/>
        <v>1</v>
      </c>
    </row>
    <row r="10" spans="1:11">
      <c r="A10" s="5">
        <v>9</v>
      </c>
      <c r="B10" s="6" t="s">
        <v>19</v>
      </c>
      <c r="C10" s="6" t="s">
        <v>28</v>
      </c>
      <c r="D10" s="7" t="s">
        <v>29</v>
      </c>
      <c r="E10" s="6" t="s">
        <v>30</v>
      </c>
      <c r="F10" s="6" t="s">
        <v>25</v>
      </c>
      <c r="G10" s="6" t="s">
        <v>4</v>
      </c>
      <c r="H10" s="6">
        <v>15</v>
      </c>
      <c r="I10" s="6">
        <v>15</v>
      </c>
      <c r="J10" s="8">
        <f t="shared" si="0"/>
        <v>0</v>
      </c>
      <c r="K10" s="9">
        <f t="shared" si="1"/>
        <v>1</v>
      </c>
    </row>
    <row r="11" spans="1:11">
      <c r="A11" s="5">
        <v>10</v>
      </c>
      <c r="B11" s="6" t="s">
        <v>19</v>
      </c>
      <c r="C11" s="6" t="s">
        <v>31</v>
      </c>
      <c r="D11" s="11" t="s">
        <v>32</v>
      </c>
      <c r="E11" s="6" t="s">
        <v>33</v>
      </c>
      <c r="F11" s="6" t="s">
        <v>23</v>
      </c>
      <c r="G11" s="6" t="s">
        <v>6</v>
      </c>
      <c r="H11" s="6">
        <v>5</v>
      </c>
      <c r="I11" s="10"/>
      <c r="J11" s="8">
        <f t="shared" si="0"/>
        <v>5</v>
      </c>
      <c r="K11" s="9">
        <f t="shared" si="1"/>
        <v>0</v>
      </c>
    </row>
    <row r="12" spans="1:11">
      <c r="A12" s="5">
        <v>11</v>
      </c>
      <c r="B12" s="6" t="s">
        <v>19</v>
      </c>
      <c r="C12" s="6" t="s">
        <v>31</v>
      </c>
      <c r="D12" s="11" t="s">
        <v>32</v>
      </c>
      <c r="E12" s="6" t="s">
        <v>34</v>
      </c>
      <c r="F12" s="6" t="s">
        <v>24</v>
      </c>
      <c r="G12" s="6" t="s">
        <v>6</v>
      </c>
      <c r="H12" s="6">
        <v>40</v>
      </c>
      <c r="I12" s="6">
        <v>45</v>
      </c>
      <c r="J12" s="8">
        <f t="shared" si="0"/>
        <v>-5</v>
      </c>
      <c r="K12" s="9">
        <f t="shared" si="1"/>
        <v>1.125</v>
      </c>
    </row>
    <row r="13" spans="1:11">
      <c r="A13" s="5">
        <v>12</v>
      </c>
      <c r="B13" s="6" t="s">
        <v>19</v>
      </c>
      <c r="C13" s="6" t="s">
        <v>31</v>
      </c>
      <c r="D13" s="11" t="s">
        <v>32</v>
      </c>
      <c r="E13" s="6" t="s">
        <v>34</v>
      </c>
      <c r="F13" s="6" t="s">
        <v>25</v>
      </c>
      <c r="G13" s="6" t="s">
        <v>6</v>
      </c>
      <c r="H13" s="6">
        <v>15</v>
      </c>
      <c r="I13" s="6"/>
      <c r="J13" s="8">
        <f t="shared" si="0"/>
        <v>15</v>
      </c>
      <c r="K13" s="9">
        <f t="shared" si="1"/>
        <v>0</v>
      </c>
    </row>
    <row r="14" spans="1:11">
      <c r="A14" s="5">
        <v>13</v>
      </c>
      <c r="B14" s="6" t="s">
        <v>19</v>
      </c>
      <c r="C14" s="6" t="s">
        <v>31</v>
      </c>
      <c r="D14" s="11" t="s">
        <v>32</v>
      </c>
      <c r="E14" s="6" t="s">
        <v>35</v>
      </c>
      <c r="F14" s="6" t="s">
        <v>24</v>
      </c>
      <c r="G14" s="6" t="s">
        <v>6</v>
      </c>
      <c r="H14" s="6">
        <v>40</v>
      </c>
      <c r="I14" s="6">
        <v>20</v>
      </c>
      <c r="J14" s="8">
        <f t="shared" si="0"/>
        <v>20</v>
      </c>
      <c r="K14" s="9">
        <f t="shared" si="1"/>
        <v>0.5</v>
      </c>
    </row>
    <row r="15" spans="1:11">
      <c r="A15" s="5">
        <v>14</v>
      </c>
      <c r="B15" s="6" t="s">
        <v>19</v>
      </c>
      <c r="C15" s="6" t="s">
        <v>31</v>
      </c>
      <c r="D15" s="11" t="s">
        <v>32</v>
      </c>
      <c r="E15" s="6" t="s">
        <v>35</v>
      </c>
      <c r="F15" s="6" t="s">
        <v>25</v>
      </c>
      <c r="G15" s="6" t="s">
        <v>6</v>
      </c>
      <c r="H15" s="6">
        <v>20</v>
      </c>
      <c r="I15" s="10"/>
      <c r="J15" s="8">
        <f t="shared" si="0"/>
        <v>20</v>
      </c>
      <c r="K15" s="9">
        <f t="shared" si="1"/>
        <v>0</v>
      </c>
    </row>
    <row r="16" spans="1:11">
      <c r="A16" s="5">
        <v>15</v>
      </c>
      <c r="B16" s="6" t="s">
        <v>19</v>
      </c>
      <c r="C16" s="6" t="s">
        <v>36</v>
      </c>
      <c r="D16" s="11" t="s">
        <v>37</v>
      </c>
      <c r="E16" s="6" t="s">
        <v>38</v>
      </c>
      <c r="F16" s="6" t="s">
        <v>23</v>
      </c>
      <c r="G16" s="6" t="s">
        <v>0</v>
      </c>
      <c r="H16" s="6">
        <v>15</v>
      </c>
      <c r="I16" s="10">
        <v>10</v>
      </c>
      <c r="J16" s="8">
        <f t="shared" si="0"/>
        <v>5</v>
      </c>
      <c r="K16" s="9">
        <f t="shared" si="1"/>
        <v>0.66666666666666663</v>
      </c>
    </row>
    <row r="17" spans="1:11">
      <c r="A17" s="5">
        <v>16</v>
      </c>
      <c r="B17" s="6" t="s">
        <v>19</v>
      </c>
      <c r="C17" s="6" t="s">
        <v>36</v>
      </c>
      <c r="D17" s="11" t="s">
        <v>37</v>
      </c>
      <c r="E17" s="6" t="s">
        <v>38</v>
      </c>
      <c r="F17" s="6" t="s">
        <v>24</v>
      </c>
      <c r="G17" s="6" t="s">
        <v>0</v>
      </c>
      <c r="H17" s="6">
        <v>15</v>
      </c>
      <c r="I17" s="10"/>
      <c r="J17" s="8">
        <f t="shared" si="0"/>
        <v>15</v>
      </c>
      <c r="K17" s="9">
        <f t="shared" si="1"/>
        <v>0</v>
      </c>
    </row>
    <row r="18" spans="1:11">
      <c r="A18" s="5">
        <v>17</v>
      </c>
      <c r="B18" s="6" t="s">
        <v>19</v>
      </c>
      <c r="C18" s="6" t="s">
        <v>36</v>
      </c>
      <c r="D18" s="11" t="s">
        <v>37</v>
      </c>
      <c r="E18" s="6" t="s">
        <v>38</v>
      </c>
      <c r="F18" s="6" t="s">
        <v>25</v>
      </c>
      <c r="G18" s="6" t="s">
        <v>0</v>
      </c>
      <c r="H18" s="6">
        <v>15</v>
      </c>
      <c r="I18" s="10"/>
      <c r="J18" s="8">
        <f t="shared" si="0"/>
        <v>15</v>
      </c>
      <c r="K18" s="9">
        <f t="shared" si="1"/>
        <v>0</v>
      </c>
    </row>
    <row r="19" spans="1:11">
      <c r="A19" s="5">
        <v>18</v>
      </c>
      <c r="B19" s="6" t="s">
        <v>19</v>
      </c>
      <c r="C19" s="6" t="s">
        <v>36</v>
      </c>
      <c r="D19" s="11" t="s">
        <v>39</v>
      </c>
      <c r="E19" s="6" t="s">
        <v>40</v>
      </c>
      <c r="F19" s="6" t="s">
        <v>23</v>
      </c>
      <c r="G19" s="6" t="s">
        <v>2</v>
      </c>
      <c r="H19" s="6">
        <v>15</v>
      </c>
      <c r="I19" s="10"/>
      <c r="J19" s="8">
        <f t="shared" si="0"/>
        <v>15</v>
      </c>
      <c r="K19" s="9">
        <f t="shared" si="1"/>
        <v>0</v>
      </c>
    </row>
    <row r="20" spans="1:11">
      <c r="A20" s="5">
        <v>19</v>
      </c>
      <c r="B20" s="6" t="s">
        <v>19</v>
      </c>
      <c r="C20" s="6" t="s">
        <v>36</v>
      </c>
      <c r="D20" s="11" t="s">
        <v>39</v>
      </c>
      <c r="E20" s="6" t="s">
        <v>40</v>
      </c>
      <c r="F20" s="6" t="s">
        <v>24</v>
      </c>
      <c r="G20" s="6" t="s">
        <v>2</v>
      </c>
      <c r="H20" s="6">
        <v>15</v>
      </c>
      <c r="I20" s="10"/>
      <c r="J20" s="8">
        <f t="shared" si="0"/>
        <v>15</v>
      </c>
      <c r="K20" s="9">
        <f t="shared" si="1"/>
        <v>0</v>
      </c>
    </row>
    <row r="21" spans="1:11" ht="15.75" customHeight="1">
      <c r="A21" s="5">
        <v>20</v>
      </c>
      <c r="B21" s="6" t="s">
        <v>19</v>
      </c>
      <c r="C21" s="6" t="s">
        <v>36</v>
      </c>
      <c r="D21" s="10" t="s">
        <v>39</v>
      </c>
      <c r="E21" s="6" t="s">
        <v>40</v>
      </c>
      <c r="F21" s="6" t="s">
        <v>25</v>
      </c>
      <c r="G21" s="6" t="s">
        <v>2</v>
      </c>
      <c r="H21" s="6">
        <v>15</v>
      </c>
      <c r="I21" s="10"/>
      <c r="J21" s="8">
        <f t="shared" si="0"/>
        <v>15</v>
      </c>
      <c r="K21" s="9">
        <f t="shared" si="1"/>
        <v>0</v>
      </c>
    </row>
    <row r="22" spans="1:11" ht="15.75" customHeight="1">
      <c r="A22" s="5">
        <v>21</v>
      </c>
      <c r="B22" s="6" t="s">
        <v>19</v>
      </c>
      <c r="C22" s="6" t="s">
        <v>36</v>
      </c>
      <c r="D22" s="10" t="s">
        <v>41</v>
      </c>
      <c r="E22" s="6" t="s">
        <v>42</v>
      </c>
      <c r="F22" s="6" t="s">
        <v>23</v>
      </c>
      <c r="G22" s="6" t="s">
        <v>4</v>
      </c>
      <c r="H22" s="6">
        <v>20</v>
      </c>
      <c r="I22" s="10"/>
      <c r="J22" s="8">
        <f t="shared" si="0"/>
        <v>20</v>
      </c>
      <c r="K22" s="9">
        <f t="shared" si="1"/>
        <v>0</v>
      </c>
    </row>
    <row r="23" spans="1:11" ht="15.75" customHeight="1">
      <c r="A23" s="5">
        <v>22</v>
      </c>
      <c r="B23" s="6" t="s">
        <v>19</v>
      </c>
      <c r="C23" s="6" t="s">
        <v>36</v>
      </c>
      <c r="D23" s="10" t="s">
        <v>41</v>
      </c>
      <c r="E23" s="6" t="s">
        <v>42</v>
      </c>
      <c r="F23" s="6" t="s">
        <v>24</v>
      </c>
      <c r="G23" s="6" t="s">
        <v>4</v>
      </c>
      <c r="H23" s="6">
        <v>20</v>
      </c>
      <c r="I23" s="10"/>
      <c r="J23" s="8">
        <f t="shared" si="0"/>
        <v>20</v>
      </c>
      <c r="K23" s="9">
        <f t="shared" si="1"/>
        <v>0</v>
      </c>
    </row>
    <row r="24" spans="1:11" ht="15.75" customHeight="1">
      <c r="A24" s="5">
        <v>23</v>
      </c>
      <c r="B24" s="6" t="s">
        <v>19</v>
      </c>
      <c r="C24" s="6" t="s">
        <v>36</v>
      </c>
      <c r="D24" s="10" t="s">
        <v>41</v>
      </c>
      <c r="E24" s="6" t="s">
        <v>42</v>
      </c>
      <c r="F24" s="6" t="s">
        <v>25</v>
      </c>
      <c r="G24" s="6" t="s">
        <v>4</v>
      </c>
      <c r="H24" s="6">
        <v>20</v>
      </c>
      <c r="I24" s="10"/>
      <c r="J24" s="8">
        <f t="shared" si="0"/>
        <v>20</v>
      </c>
      <c r="K24" s="9">
        <f t="shared" si="1"/>
        <v>0</v>
      </c>
    </row>
    <row r="25" spans="1:11" ht="15.75" customHeight="1">
      <c r="A25" s="5">
        <v>24</v>
      </c>
      <c r="B25" s="6" t="s">
        <v>19</v>
      </c>
      <c r="C25" s="6" t="s">
        <v>36</v>
      </c>
      <c r="D25" s="10" t="s">
        <v>43</v>
      </c>
      <c r="E25" s="6" t="s">
        <v>44</v>
      </c>
      <c r="F25" s="6" t="s">
        <v>23</v>
      </c>
      <c r="G25" s="6" t="s">
        <v>6</v>
      </c>
      <c r="H25" s="6">
        <v>15</v>
      </c>
      <c r="I25" s="10"/>
      <c r="J25" s="8">
        <f t="shared" si="0"/>
        <v>15</v>
      </c>
      <c r="K25" s="9">
        <f t="shared" si="1"/>
        <v>0</v>
      </c>
    </row>
    <row r="26" spans="1:11" ht="15.75" customHeight="1">
      <c r="A26" s="5">
        <v>25</v>
      </c>
      <c r="B26" s="6" t="s">
        <v>19</v>
      </c>
      <c r="C26" s="6" t="s">
        <v>36</v>
      </c>
      <c r="D26" s="10" t="s">
        <v>43</v>
      </c>
      <c r="E26" s="6" t="s">
        <v>44</v>
      </c>
      <c r="F26" s="6" t="s">
        <v>24</v>
      </c>
      <c r="G26" s="6" t="s">
        <v>6</v>
      </c>
      <c r="H26" s="6">
        <v>15</v>
      </c>
      <c r="I26" s="10"/>
      <c r="J26" s="8">
        <f t="shared" si="0"/>
        <v>15</v>
      </c>
      <c r="K26" s="9">
        <f t="shared" si="1"/>
        <v>0</v>
      </c>
    </row>
    <row r="27" spans="1:11" ht="15.75" customHeight="1">
      <c r="A27" s="5">
        <v>26</v>
      </c>
      <c r="B27" s="6" t="s">
        <v>19</v>
      </c>
      <c r="C27" s="6" t="s">
        <v>36</v>
      </c>
      <c r="D27" s="10" t="s">
        <v>43</v>
      </c>
      <c r="E27" s="6" t="s">
        <v>44</v>
      </c>
      <c r="F27" s="6" t="s">
        <v>25</v>
      </c>
      <c r="G27" s="6" t="s">
        <v>6</v>
      </c>
      <c r="H27" s="6">
        <v>15</v>
      </c>
      <c r="I27" s="10"/>
      <c r="J27" s="8">
        <f t="shared" si="0"/>
        <v>15</v>
      </c>
      <c r="K27" s="9">
        <f t="shared" si="1"/>
        <v>0</v>
      </c>
    </row>
    <row r="28" spans="1:11" ht="15.75" customHeight="1">
      <c r="A28" s="5">
        <v>27</v>
      </c>
      <c r="B28" s="6" t="s">
        <v>19</v>
      </c>
      <c r="C28" s="6" t="s">
        <v>45</v>
      </c>
      <c r="D28" s="10" t="s">
        <v>46</v>
      </c>
      <c r="E28" s="6" t="s">
        <v>47</v>
      </c>
      <c r="F28" s="6" t="s">
        <v>23</v>
      </c>
      <c r="G28" s="6" t="s">
        <v>0</v>
      </c>
      <c r="H28" s="6">
        <v>10</v>
      </c>
      <c r="I28" s="6">
        <v>10</v>
      </c>
      <c r="J28" s="8">
        <f t="shared" si="0"/>
        <v>0</v>
      </c>
      <c r="K28" s="9">
        <f t="shared" si="1"/>
        <v>1</v>
      </c>
    </row>
    <row r="29" spans="1:11" ht="15.75" customHeight="1">
      <c r="A29" s="5">
        <v>28</v>
      </c>
      <c r="B29" s="6" t="s">
        <v>19</v>
      </c>
      <c r="C29" s="6" t="s">
        <v>45</v>
      </c>
      <c r="D29" s="10" t="s">
        <v>46</v>
      </c>
      <c r="E29" s="6" t="s">
        <v>48</v>
      </c>
      <c r="F29" s="6" t="s">
        <v>24</v>
      </c>
      <c r="G29" s="6" t="s">
        <v>0</v>
      </c>
      <c r="H29" s="6">
        <v>15</v>
      </c>
      <c r="I29" s="6">
        <v>15</v>
      </c>
      <c r="J29" s="8">
        <f t="shared" si="0"/>
        <v>0</v>
      </c>
      <c r="K29" s="9">
        <f t="shared" si="1"/>
        <v>1</v>
      </c>
    </row>
    <row r="30" spans="1:11" ht="15.75" customHeight="1">
      <c r="A30" s="5">
        <v>29</v>
      </c>
      <c r="B30" s="6" t="s">
        <v>19</v>
      </c>
      <c r="C30" s="6" t="s">
        <v>45</v>
      </c>
      <c r="D30" s="10" t="s">
        <v>46</v>
      </c>
      <c r="E30" s="6" t="s">
        <v>47</v>
      </c>
      <c r="F30" s="6" t="s">
        <v>25</v>
      </c>
      <c r="G30" s="6" t="s">
        <v>0</v>
      </c>
      <c r="H30" s="6">
        <v>15</v>
      </c>
      <c r="I30" s="6">
        <v>15</v>
      </c>
      <c r="J30" s="8">
        <f t="shared" si="0"/>
        <v>0</v>
      </c>
      <c r="K30" s="9">
        <f t="shared" si="1"/>
        <v>1</v>
      </c>
    </row>
    <row r="31" spans="1:11" ht="15.75" customHeight="1">
      <c r="A31" s="5">
        <v>30</v>
      </c>
      <c r="B31" s="6" t="s">
        <v>19</v>
      </c>
      <c r="C31" s="6" t="s">
        <v>45</v>
      </c>
      <c r="D31" s="10" t="s">
        <v>49</v>
      </c>
      <c r="E31" s="6" t="s">
        <v>50</v>
      </c>
      <c r="F31" s="6" t="s">
        <v>23</v>
      </c>
      <c r="G31" s="6" t="s">
        <v>2</v>
      </c>
      <c r="H31" s="6">
        <v>10</v>
      </c>
      <c r="I31" s="6">
        <v>10</v>
      </c>
      <c r="J31" s="8">
        <f t="shared" si="0"/>
        <v>0</v>
      </c>
      <c r="K31" s="9">
        <f t="shared" si="1"/>
        <v>1</v>
      </c>
    </row>
    <row r="32" spans="1:11" ht="15.75" customHeight="1">
      <c r="A32" s="5">
        <v>31</v>
      </c>
      <c r="B32" s="6" t="s">
        <v>19</v>
      </c>
      <c r="C32" s="6" t="s">
        <v>45</v>
      </c>
      <c r="D32" s="10" t="s">
        <v>49</v>
      </c>
      <c r="E32" s="6" t="s">
        <v>50</v>
      </c>
      <c r="F32" s="6" t="s">
        <v>24</v>
      </c>
      <c r="G32" s="6" t="s">
        <v>2</v>
      </c>
      <c r="H32" s="6">
        <v>15</v>
      </c>
      <c r="I32" s="6">
        <v>15</v>
      </c>
      <c r="J32" s="8">
        <f t="shared" si="0"/>
        <v>0</v>
      </c>
      <c r="K32" s="9">
        <f t="shared" si="1"/>
        <v>1</v>
      </c>
    </row>
    <row r="33" spans="1:11" ht="15.75" customHeight="1">
      <c r="A33" s="5">
        <v>32</v>
      </c>
      <c r="B33" s="6" t="s">
        <v>19</v>
      </c>
      <c r="C33" s="6" t="s">
        <v>45</v>
      </c>
      <c r="D33" s="10" t="s">
        <v>49</v>
      </c>
      <c r="E33" s="6" t="s">
        <v>50</v>
      </c>
      <c r="F33" s="6" t="s">
        <v>25</v>
      </c>
      <c r="G33" s="6" t="s">
        <v>2</v>
      </c>
      <c r="H33" s="6">
        <v>15</v>
      </c>
      <c r="I33" s="6">
        <v>15</v>
      </c>
      <c r="J33" s="8">
        <f t="shared" si="0"/>
        <v>0</v>
      </c>
      <c r="K33" s="9">
        <f t="shared" si="1"/>
        <v>1</v>
      </c>
    </row>
    <row r="34" spans="1:11" ht="15.75" customHeight="1">
      <c r="A34" s="5">
        <v>33</v>
      </c>
      <c r="B34" s="6" t="s">
        <v>19</v>
      </c>
      <c r="C34" s="6" t="s">
        <v>51</v>
      </c>
      <c r="D34" s="10" t="s">
        <v>52</v>
      </c>
      <c r="E34" s="6" t="s">
        <v>53</v>
      </c>
      <c r="F34" s="6" t="s">
        <v>54</v>
      </c>
      <c r="G34" s="6" t="s">
        <v>4</v>
      </c>
      <c r="H34" s="6">
        <v>10</v>
      </c>
      <c r="I34" s="10"/>
      <c r="J34" s="8">
        <f t="shared" ref="J34:J65" si="2">H34-I34</f>
        <v>10</v>
      </c>
      <c r="K34" s="9">
        <f t="shared" ref="K34:K65" si="3">(I34/(I34+J34))</f>
        <v>0</v>
      </c>
    </row>
    <row r="35" spans="1:11" ht="15.75" customHeight="1">
      <c r="A35" s="5">
        <v>34</v>
      </c>
      <c r="B35" s="6" t="s">
        <v>19</v>
      </c>
      <c r="C35" s="6" t="s">
        <v>51</v>
      </c>
      <c r="D35" s="10" t="s">
        <v>52</v>
      </c>
      <c r="E35" s="6" t="s">
        <v>53</v>
      </c>
      <c r="F35" s="6" t="s">
        <v>24</v>
      </c>
      <c r="G35" s="6" t="s">
        <v>4</v>
      </c>
      <c r="H35" s="6">
        <v>15</v>
      </c>
      <c r="I35" s="10"/>
      <c r="J35" s="8">
        <f t="shared" si="2"/>
        <v>15</v>
      </c>
      <c r="K35" s="9">
        <f t="shared" si="3"/>
        <v>0</v>
      </c>
    </row>
    <row r="36" spans="1:11" ht="15.75" customHeight="1">
      <c r="A36" s="5">
        <v>35</v>
      </c>
      <c r="B36" s="6" t="s">
        <v>19</v>
      </c>
      <c r="C36" s="6" t="s">
        <v>51</v>
      </c>
      <c r="D36" s="10" t="s">
        <v>52</v>
      </c>
      <c r="E36" s="6" t="s">
        <v>53</v>
      </c>
      <c r="F36" s="6" t="s">
        <v>25</v>
      </c>
      <c r="G36" s="6" t="s">
        <v>4</v>
      </c>
      <c r="H36" s="6">
        <v>15</v>
      </c>
      <c r="I36" s="10"/>
      <c r="J36" s="8">
        <f t="shared" si="2"/>
        <v>15</v>
      </c>
      <c r="K36" s="9">
        <f t="shared" si="3"/>
        <v>0</v>
      </c>
    </row>
    <row r="37" spans="1:11" ht="15.75" customHeight="1">
      <c r="A37" s="5">
        <v>36</v>
      </c>
      <c r="B37" s="6" t="s">
        <v>19</v>
      </c>
      <c r="C37" s="6" t="s">
        <v>51</v>
      </c>
      <c r="D37" s="10" t="s">
        <v>55</v>
      </c>
      <c r="E37" s="6" t="s">
        <v>56</v>
      </c>
      <c r="F37" s="6" t="s">
        <v>54</v>
      </c>
      <c r="G37" s="6" t="s">
        <v>6</v>
      </c>
      <c r="H37" s="6">
        <v>10</v>
      </c>
      <c r="I37" s="10"/>
      <c r="J37" s="8">
        <f t="shared" si="2"/>
        <v>10</v>
      </c>
      <c r="K37" s="9">
        <f t="shared" si="3"/>
        <v>0</v>
      </c>
    </row>
    <row r="38" spans="1:11" ht="15.75" customHeight="1">
      <c r="A38" s="5">
        <v>37</v>
      </c>
      <c r="B38" s="6" t="s">
        <v>19</v>
      </c>
      <c r="C38" s="6" t="s">
        <v>51</v>
      </c>
      <c r="D38" s="10" t="s">
        <v>55</v>
      </c>
      <c r="E38" s="6" t="s">
        <v>57</v>
      </c>
      <c r="F38" s="6" t="s">
        <v>24</v>
      </c>
      <c r="G38" s="6" t="s">
        <v>6</v>
      </c>
      <c r="H38" s="6">
        <v>20</v>
      </c>
      <c r="I38" s="10"/>
      <c r="J38" s="8">
        <f t="shared" si="2"/>
        <v>20</v>
      </c>
      <c r="K38" s="9">
        <f t="shared" si="3"/>
        <v>0</v>
      </c>
    </row>
    <row r="39" spans="1:11" ht="15.75" customHeight="1">
      <c r="A39" s="5">
        <v>38</v>
      </c>
      <c r="B39" s="6" t="s">
        <v>19</v>
      </c>
      <c r="C39" s="6" t="s">
        <v>51</v>
      </c>
      <c r="D39" s="10" t="s">
        <v>55</v>
      </c>
      <c r="E39" s="6" t="s">
        <v>58</v>
      </c>
      <c r="F39" s="6" t="s">
        <v>25</v>
      </c>
      <c r="G39" s="6" t="s">
        <v>6</v>
      </c>
      <c r="H39" s="6">
        <v>20</v>
      </c>
      <c r="I39" s="10"/>
      <c r="J39" s="8">
        <f t="shared" si="2"/>
        <v>20</v>
      </c>
      <c r="K39" s="9">
        <f t="shared" si="3"/>
        <v>0</v>
      </c>
    </row>
    <row r="40" spans="1:11" ht="15.75" customHeight="1">
      <c r="A40" s="5">
        <v>39</v>
      </c>
      <c r="B40" s="6" t="s">
        <v>19</v>
      </c>
      <c r="C40" s="6" t="s">
        <v>51</v>
      </c>
      <c r="E40" s="6" t="s">
        <v>59</v>
      </c>
      <c r="F40" s="6" t="s">
        <v>54</v>
      </c>
      <c r="G40" s="6" t="s">
        <v>0</v>
      </c>
      <c r="H40" s="6">
        <v>15</v>
      </c>
      <c r="I40" s="10"/>
      <c r="J40" s="8">
        <f t="shared" si="2"/>
        <v>15</v>
      </c>
      <c r="K40" s="9">
        <f t="shared" si="3"/>
        <v>0</v>
      </c>
    </row>
    <row r="41" spans="1:11" ht="15.75" customHeight="1">
      <c r="A41" s="5">
        <v>40</v>
      </c>
      <c r="B41" s="6" t="s">
        <v>19</v>
      </c>
      <c r="C41" s="6" t="s">
        <v>51</v>
      </c>
      <c r="E41" s="6" t="s">
        <v>59</v>
      </c>
      <c r="F41" s="6" t="s">
        <v>24</v>
      </c>
      <c r="G41" s="6" t="s">
        <v>0</v>
      </c>
      <c r="H41" s="6">
        <v>20</v>
      </c>
      <c r="I41" s="10"/>
      <c r="J41" s="8">
        <f t="shared" si="2"/>
        <v>20</v>
      </c>
      <c r="K41" s="9">
        <f t="shared" si="3"/>
        <v>0</v>
      </c>
    </row>
    <row r="42" spans="1:11" ht="15.75" customHeight="1">
      <c r="A42" s="5">
        <v>41</v>
      </c>
      <c r="B42" s="6" t="s">
        <v>19</v>
      </c>
      <c r="C42" s="6" t="s">
        <v>51</v>
      </c>
      <c r="E42" s="6" t="s">
        <v>59</v>
      </c>
      <c r="F42" s="6" t="s">
        <v>60</v>
      </c>
      <c r="G42" s="6" t="s">
        <v>0</v>
      </c>
      <c r="H42" s="6">
        <v>12</v>
      </c>
      <c r="I42" s="10"/>
      <c r="J42" s="8">
        <f t="shared" si="2"/>
        <v>12</v>
      </c>
      <c r="K42" s="9">
        <f t="shared" si="3"/>
        <v>0</v>
      </c>
    </row>
    <row r="43" spans="1:11" ht="15.75" customHeight="1">
      <c r="A43" s="5">
        <v>42</v>
      </c>
      <c r="B43" s="6" t="s">
        <v>19</v>
      </c>
      <c r="C43" s="6" t="s">
        <v>45</v>
      </c>
      <c r="D43" s="10" t="s">
        <v>61</v>
      </c>
      <c r="E43" s="6" t="s">
        <v>62</v>
      </c>
      <c r="F43" s="6" t="s">
        <v>54</v>
      </c>
      <c r="G43" s="6" t="s">
        <v>2</v>
      </c>
      <c r="H43" s="6">
        <v>15</v>
      </c>
      <c r="I43" s="10"/>
      <c r="J43" s="8">
        <f t="shared" si="2"/>
        <v>15</v>
      </c>
      <c r="K43" s="9">
        <f t="shared" si="3"/>
        <v>0</v>
      </c>
    </row>
    <row r="44" spans="1:11" ht="15.75" customHeight="1">
      <c r="A44" s="5">
        <v>43</v>
      </c>
      <c r="B44" s="6" t="s">
        <v>19</v>
      </c>
      <c r="C44" s="6" t="s">
        <v>45</v>
      </c>
      <c r="D44" s="10" t="s">
        <v>61</v>
      </c>
      <c r="E44" s="6" t="s">
        <v>62</v>
      </c>
      <c r="F44" s="6" t="s">
        <v>63</v>
      </c>
      <c r="G44" s="6" t="s">
        <v>2</v>
      </c>
      <c r="H44" s="6">
        <v>20</v>
      </c>
      <c r="I44" s="10"/>
      <c r="J44" s="8">
        <f t="shared" si="2"/>
        <v>20</v>
      </c>
      <c r="K44" s="9">
        <f t="shared" si="3"/>
        <v>0</v>
      </c>
    </row>
    <row r="45" spans="1:11" ht="15.75" customHeight="1">
      <c r="A45" s="5">
        <v>44</v>
      </c>
      <c r="B45" s="6" t="s">
        <v>19</v>
      </c>
      <c r="C45" s="6" t="s">
        <v>45</v>
      </c>
      <c r="D45" s="10" t="s">
        <v>61</v>
      </c>
      <c r="E45" s="6" t="s">
        <v>62</v>
      </c>
      <c r="F45" s="6" t="s">
        <v>60</v>
      </c>
      <c r="G45" s="6" t="s">
        <v>2</v>
      </c>
      <c r="H45" s="6">
        <v>20</v>
      </c>
      <c r="I45" s="10"/>
      <c r="J45" s="8">
        <f t="shared" si="2"/>
        <v>20</v>
      </c>
      <c r="K45" s="9">
        <f t="shared" si="3"/>
        <v>0</v>
      </c>
    </row>
    <row r="46" spans="1:11" ht="15.75" customHeight="1">
      <c r="A46" s="5">
        <v>45</v>
      </c>
      <c r="B46" s="6" t="s">
        <v>19</v>
      </c>
      <c r="C46" s="6" t="s">
        <v>51</v>
      </c>
      <c r="E46" s="6" t="s">
        <v>64</v>
      </c>
      <c r="F46" s="6" t="s">
        <v>54</v>
      </c>
      <c r="G46" s="6" t="s">
        <v>4</v>
      </c>
      <c r="H46" s="6">
        <v>10</v>
      </c>
      <c r="I46" s="10"/>
      <c r="J46" s="8">
        <f t="shared" si="2"/>
        <v>10</v>
      </c>
      <c r="K46" s="9">
        <f t="shared" si="3"/>
        <v>0</v>
      </c>
    </row>
    <row r="47" spans="1:11" ht="15.75" customHeight="1">
      <c r="A47" s="5">
        <v>46</v>
      </c>
      <c r="B47" s="6" t="s">
        <v>19</v>
      </c>
      <c r="C47" s="6" t="s">
        <v>51</v>
      </c>
      <c r="E47" s="6" t="s">
        <v>64</v>
      </c>
      <c r="F47" s="6" t="s">
        <v>24</v>
      </c>
      <c r="G47" s="6" t="s">
        <v>4</v>
      </c>
      <c r="H47" s="6">
        <v>15</v>
      </c>
      <c r="I47" s="10"/>
      <c r="J47" s="8">
        <f t="shared" si="2"/>
        <v>15</v>
      </c>
      <c r="K47" s="9">
        <f t="shared" si="3"/>
        <v>0</v>
      </c>
    </row>
    <row r="48" spans="1:11" ht="15.75" customHeight="1">
      <c r="A48" s="5">
        <v>47</v>
      </c>
      <c r="B48" s="6" t="s">
        <v>19</v>
      </c>
      <c r="C48" s="6" t="s">
        <v>51</v>
      </c>
      <c r="E48" s="6" t="s">
        <v>64</v>
      </c>
      <c r="F48" s="6" t="s">
        <v>60</v>
      </c>
      <c r="G48" s="6" t="s">
        <v>4</v>
      </c>
      <c r="H48" s="6">
        <v>15</v>
      </c>
      <c r="I48" s="10"/>
      <c r="J48" s="8">
        <f t="shared" si="2"/>
        <v>15</v>
      </c>
      <c r="K48" s="9">
        <f t="shared" si="3"/>
        <v>0</v>
      </c>
    </row>
    <row r="49" spans="1:11" ht="15.75" customHeight="1">
      <c r="A49" s="5">
        <v>48</v>
      </c>
      <c r="B49" s="6" t="s">
        <v>19</v>
      </c>
      <c r="C49" s="6" t="s">
        <v>45</v>
      </c>
      <c r="E49" s="6" t="s">
        <v>65</v>
      </c>
      <c r="F49" s="6" t="s">
        <v>24</v>
      </c>
      <c r="G49" s="6" t="s">
        <v>6</v>
      </c>
      <c r="H49" s="6">
        <v>30</v>
      </c>
      <c r="I49" s="10"/>
      <c r="J49" s="8">
        <f t="shared" si="2"/>
        <v>30</v>
      </c>
      <c r="K49" s="9">
        <f t="shared" si="3"/>
        <v>0</v>
      </c>
    </row>
    <row r="50" spans="1:11" ht="15.75" customHeight="1">
      <c r="A50" s="5">
        <v>49</v>
      </c>
      <c r="B50" s="6" t="s">
        <v>19</v>
      </c>
      <c r="C50" s="6" t="s">
        <v>45</v>
      </c>
      <c r="E50" s="6" t="s">
        <v>65</v>
      </c>
      <c r="F50" s="6" t="s">
        <v>60</v>
      </c>
      <c r="G50" s="6" t="s">
        <v>6</v>
      </c>
      <c r="H50" s="6">
        <v>20</v>
      </c>
      <c r="I50" s="10"/>
      <c r="J50" s="8">
        <f t="shared" si="2"/>
        <v>20</v>
      </c>
      <c r="K50" s="9">
        <f t="shared" si="3"/>
        <v>0</v>
      </c>
    </row>
    <row r="51" spans="1:11" ht="15.75" customHeight="1">
      <c r="A51" s="5">
        <v>50</v>
      </c>
      <c r="B51" s="6" t="s">
        <v>19</v>
      </c>
      <c r="C51" s="6" t="s">
        <v>51</v>
      </c>
      <c r="D51" s="10" t="s">
        <v>66</v>
      </c>
      <c r="E51" s="6" t="s">
        <v>67</v>
      </c>
      <c r="F51" s="6" t="s">
        <v>54</v>
      </c>
      <c r="G51" s="6" t="s">
        <v>0</v>
      </c>
      <c r="H51" s="6">
        <v>15</v>
      </c>
      <c r="I51" s="10"/>
      <c r="J51" s="8">
        <f t="shared" si="2"/>
        <v>15</v>
      </c>
      <c r="K51" s="9">
        <f t="shared" si="3"/>
        <v>0</v>
      </c>
    </row>
    <row r="52" spans="1:11" ht="15.75" customHeight="1">
      <c r="A52" s="5">
        <v>51</v>
      </c>
      <c r="B52" s="6" t="s">
        <v>19</v>
      </c>
      <c r="C52" s="6" t="s">
        <v>51</v>
      </c>
      <c r="D52" s="10" t="s">
        <v>66</v>
      </c>
      <c r="E52" s="6" t="s">
        <v>67</v>
      </c>
      <c r="F52" s="6" t="s">
        <v>24</v>
      </c>
      <c r="G52" s="6" t="s">
        <v>0</v>
      </c>
      <c r="H52" s="6">
        <v>15</v>
      </c>
      <c r="I52" s="10"/>
      <c r="J52" s="8">
        <f t="shared" si="2"/>
        <v>15</v>
      </c>
      <c r="K52" s="9">
        <f t="shared" si="3"/>
        <v>0</v>
      </c>
    </row>
    <row r="53" spans="1:11" ht="15.75" customHeight="1">
      <c r="A53" s="5">
        <v>52</v>
      </c>
      <c r="B53" s="6" t="s">
        <v>19</v>
      </c>
      <c r="C53" s="6" t="s">
        <v>51</v>
      </c>
      <c r="D53" s="10" t="s">
        <v>66</v>
      </c>
      <c r="E53" s="6" t="s">
        <v>68</v>
      </c>
      <c r="F53" s="10"/>
      <c r="G53" s="6" t="s">
        <v>0</v>
      </c>
      <c r="H53" s="6">
        <v>15</v>
      </c>
      <c r="I53" s="10"/>
      <c r="J53" s="8">
        <f t="shared" si="2"/>
        <v>15</v>
      </c>
      <c r="K53" s="9">
        <f t="shared" si="3"/>
        <v>0</v>
      </c>
    </row>
    <row r="54" spans="1:11" ht="15.75" customHeight="1">
      <c r="A54" s="5">
        <v>53</v>
      </c>
      <c r="B54" s="6" t="s">
        <v>19</v>
      </c>
      <c r="C54" s="6" t="s">
        <v>51</v>
      </c>
      <c r="D54" s="10" t="s">
        <v>69</v>
      </c>
      <c r="E54" s="6" t="s">
        <v>70</v>
      </c>
      <c r="F54" s="6" t="s">
        <v>54</v>
      </c>
      <c r="G54" s="6" t="s">
        <v>2</v>
      </c>
      <c r="H54" s="6">
        <v>10</v>
      </c>
      <c r="I54" s="10"/>
      <c r="J54" s="8">
        <f t="shared" si="2"/>
        <v>10</v>
      </c>
      <c r="K54" s="9">
        <f t="shared" si="3"/>
        <v>0</v>
      </c>
    </row>
    <row r="55" spans="1:11" ht="15.75" customHeight="1">
      <c r="A55" s="5">
        <v>54</v>
      </c>
      <c r="B55" s="6" t="s">
        <v>19</v>
      </c>
      <c r="C55" s="6" t="s">
        <v>51</v>
      </c>
      <c r="D55" s="10" t="s">
        <v>69</v>
      </c>
      <c r="E55" s="6" t="s">
        <v>70</v>
      </c>
      <c r="F55" s="6" t="s">
        <v>24</v>
      </c>
      <c r="G55" s="6" t="s">
        <v>2</v>
      </c>
      <c r="H55" s="6">
        <v>20</v>
      </c>
      <c r="I55" s="10"/>
      <c r="J55" s="8">
        <f t="shared" si="2"/>
        <v>20</v>
      </c>
      <c r="K55" s="9">
        <f t="shared" si="3"/>
        <v>0</v>
      </c>
    </row>
    <row r="56" spans="1:11" ht="15.75" customHeight="1">
      <c r="A56" s="5">
        <v>55</v>
      </c>
      <c r="B56" s="6" t="s">
        <v>19</v>
      </c>
      <c r="C56" s="6" t="s">
        <v>51</v>
      </c>
      <c r="D56" s="10" t="s">
        <v>69</v>
      </c>
      <c r="E56" s="6" t="s">
        <v>70</v>
      </c>
      <c r="F56" s="6" t="s">
        <v>60</v>
      </c>
      <c r="G56" s="6" t="s">
        <v>2</v>
      </c>
      <c r="H56" s="6">
        <v>15</v>
      </c>
      <c r="I56" s="10"/>
      <c r="J56" s="8">
        <f t="shared" si="2"/>
        <v>15</v>
      </c>
      <c r="K56" s="9">
        <f t="shared" si="3"/>
        <v>0</v>
      </c>
    </row>
    <row r="57" spans="1:11" ht="15.75" customHeight="1">
      <c r="A57" s="5">
        <v>56</v>
      </c>
      <c r="B57" s="6" t="s">
        <v>19</v>
      </c>
      <c r="C57" s="6" t="s">
        <v>51</v>
      </c>
      <c r="D57" s="10" t="s">
        <v>71</v>
      </c>
      <c r="E57" s="6" t="s">
        <v>72</v>
      </c>
      <c r="F57" s="6" t="s">
        <v>54</v>
      </c>
      <c r="G57" s="6" t="s">
        <v>4</v>
      </c>
      <c r="H57" s="6">
        <v>20</v>
      </c>
      <c r="I57" s="10"/>
      <c r="J57" s="8">
        <f t="shared" si="2"/>
        <v>20</v>
      </c>
      <c r="K57" s="9">
        <f t="shared" si="3"/>
        <v>0</v>
      </c>
    </row>
    <row r="58" spans="1:11" ht="15.75" customHeight="1">
      <c r="A58" s="5">
        <v>57</v>
      </c>
      <c r="B58" s="6" t="s">
        <v>19</v>
      </c>
      <c r="C58" s="6" t="s">
        <v>51</v>
      </c>
      <c r="D58" s="10" t="s">
        <v>71</v>
      </c>
      <c r="E58" s="6" t="s">
        <v>72</v>
      </c>
      <c r="F58" s="6" t="s">
        <v>63</v>
      </c>
      <c r="G58" s="6" t="s">
        <v>4</v>
      </c>
      <c r="H58" s="6">
        <v>30</v>
      </c>
      <c r="I58" s="10"/>
      <c r="J58" s="8">
        <f t="shared" si="2"/>
        <v>30</v>
      </c>
      <c r="K58" s="9">
        <f t="shared" si="3"/>
        <v>0</v>
      </c>
    </row>
    <row r="59" spans="1:11" ht="15.75" customHeight="1">
      <c r="A59" s="5">
        <v>58</v>
      </c>
      <c r="B59" s="6" t="s">
        <v>19</v>
      </c>
      <c r="C59" s="6" t="s">
        <v>51</v>
      </c>
      <c r="D59" s="10" t="s">
        <v>71</v>
      </c>
      <c r="E59" s="6" t="s">
        <v>72</v>
      </c>
      <c r="F59" s="6" t="s">
        <v>60</v>
      </c>
      <c r="G59" s="6" t="s">
        <v>4</v>
      </c>
      <c r="H59" s="6">
        <v>20</v>
      </c>
      <c r="I59" s="10"/>
      <c r="J59" s="8">
        <f t="shared" si="2"/>
        <v>20</v>
      </c>
      <c r="K59" s="9">
        <f t="shared" si="3"/>
        <v>0</v>
      </c>
    </row>
    <row r="60" spans="1:11" ht="15.75" customHeight="1">
      <c r="A60" s="5">
        <v>59</v>
      </c>
      <c r="B60" s="6" t="s">
        <v>19</v>
      </c>
      <c r="C60" s="6" t="s">
        <v>20</v>
      </c>
      <c r="E60" s="6" t="s">
        <v>73</v>
      </c>
      <c r="F60" s="6" t="s">
        <v>74</v>
      </c>
      <c r="G60" s="6" t="s">
        <v>6</v>
      </c>
      <c r="H60" s="6">
        <v>25</v>
      </c>
      <c r="I60" s="6">
        <v>30</v>
      </c>
      <c r="J60" s="8">
        <f t="shared" si="2"/>
        <v>-5</v>
      </c>
      <c r="K60" s="9">
        <f t="shared" si="3"/>
        <v>1.2</v>
      </c>
    </row>
    <row r="61" spans="1:11" ht="15.75" customHeight="1">
      <c r="A61" s="5">
        <v>60</v>
      </c>
      <c r="B61" s="6" t="s">
        <v>19</v>
      </c>
      <c r="C61" s="6" t="s">
        <v>20</v>
      </c>
      <c r="E61" s="6" t="s">
        <v>75</v>
      </c>
      <c r="F61" s="6" t="s">
        <v>76</v>
      </c>
      <c r="G61" s="6" t="s">
        <v>6</v>
      </c>
      <c r="H61" s="6">
        <v>25</v>
      </c>
      <c r="I61" s="6">
        <v>35</v>
      </c>
      <c r="J61" s="8">
        <f t="shared" si="2"/>
        <v>-10</v>
      </c>
      <c r="K61" s="9">
        <f t="shared" si="3"/>
        <v>1.4</v>
      </c>
    </row>
    <row r="62" spans="1:11" ht="15.75" customHeight="1">
      <c r="A62" s="5">
        <v>61</v>
      </c>
      <c r="B62" s="6" t="s">
        <v>19</v>
      </c>
      <c r="C62" s="6" t="s">
        <v>20</v>
      </c>
      <c r="E62" s="6" t="s">
        <v>77</v>
      </c>
      <c r="F62" s="6" t="s">
        <v>74</v>
      </c>
      <c r="G62" s="6" t="s">
        <v>6</v>
      </c>
      <c r="H62" s="6">
        <v>15</v>
      </c>
      <c r="I62" s="6">
        <v>20</v>
      </c>
      <c r="J62" s="8">
        <f t="shared" si="2"/>
        <v>-5</v>
      </c>
      <c r="K62" s="9">
        <f t="shared" si="3"/>
        <v>1.3333333333333333</v>
      </c>
    </row>
    <row r="63" spans="1:11" ht="15.75" customHeight="1">
      <c r="A63" s="5">
        <v>62</v>
      </c>
      <c r="B63" s="6" t="s">
        <v>19</v>
      </c>
      <c r="C63" s="6" t="s">
        <v>20</v>
      </c>
      <c r="E63" s="6" t="s">
        <v>78</v>
      </c>
      <c r="F63" s="6" t="s">
        <v>74</v>
      </c>
      <c r="G63" s="6" t="s">
        <v>6</v>
      </c>
      <c r="H63" s="6">
        <v>10</v>
      </c>
      <c r="I63" s="6">
        <v>10</v>
      </c>
      <c r="J63" s="8">
        <f t="shared" si="2"/>
        <v>0</v>
      </c>
      <c r="K63" s="9">
        <f t="shared" si="3"/>
        <v>1</v>
      </c>
    </row>
    <row r="64" spans="1:11" ht="15.75" customHeight="1">
      <c r="A64" s="5">
        <v>63</v>
      </c>
      <c r="B64" s="6" t="s">
        <v>19</v>
      </c>
      <c r="C64" s="6" t="s">
        <v>20</v>
      </c>
      <c r="E64" s="6" t="s">
        <v>79</v>
      </c>
      <c r="F64" s="6" t="s">
        <v>23</v>
      </c>
      <c r="G64" s="6" t="s">
        <v>0</v>
      </c>
      <c r="H64" s="6">
        <v>15</v>
      </c>
      <c r="I64" s="6">
        <v>15</v>
      </c>
      <c r="J64" s="8">
        <f t="shared" si="2"/>
        <v>0</v>
      </c>
      <c r="K64" s="9">
        <f t="shared" si="3"/>
        <v>1</v>
      </c>
    </row>
    <row r="65" spans="1:11" ht="15.75" customHeight="1">
      <c r="A65" s="5">
        <v>64</v>
      </c>
      <c r="B65" s="6" t="s">
        <v>19</v>
      </c>
      <c r="C65" s="6" t="s">
        <v>20</v>
      </c>
      <c r="E65" s="6" t="s">
        <v>80</v>
      </c>
      <c r="F65" s="6" t="s">
        <v>74</v>
      </c>
      <c r="G65" s="6" t="s">
        <v>0</v>
      </c>
      <c r="H65" s="6">
        <v>30</v>
      </c>
      <c r="I65" s="6">
        <v>30</v>
      </c>
      <c r="J65" s="8">
        <f t="shared" si="2"/>
        <v>0</v>
      </c>
      <c r="K65" s="9">
        <f t="shared" si="3"/>
        <v>1</v>
      </c>
    </row>
    <row r="66" spans="1:11" ht="15.75" customHeight="1">
      <c r="A66" s="5">
        <v>65</v>
      </c>
      <c r="B66" s="6" t="s">
        <v>19</v>
      </c>
      <c r="C66" s="6" t="s">
        <v>20</v>
      </c>
      <c r="E66" s="6" t="s">
        <v>81</v>
      </c>
      <c r="F66" s="6" t="s">
        <v>76</v>
      </c>
      <c r="G66" s="6" t="s">
        <v>0</v>
      </c>
      <c r="H66" s="6">
        <v>10</v>
      </c>
      <c r="I66" s="6">
        <v>10</v>
      </c>
      <c r="J66" s="8">
        <f t="shared" ref="J66:J97" si="4">H66-I66</f>
        <v>0</v>
      </c>
      <c r="K66" s="9">
        <f t="shared" ref="K66:K97" si="5">(I66/(I66+J66))</f>
        <v>1</v>
      </c>
    </row>
    <row r="67" spans="1:11" ht="15.75" customHeight="1">
      <c r="A67" s="5">
        <v>66</v>
      </c>
      <c r="B67" s="6" t="s">
        <v>19</v>
      </c>
      <c r="C67" s="6" t="s">
        <v>20</v>
      </c>
      <c r="D67" s="10" t="s">
        <v>82</v>
      </c>
      <c r="E67" s="6" t="s">
        <v>83</v>
      </c>
      <c r="F67" s="6" t="s">
        <v>23</v>
      </c>
      <c r="G67" s="6" t="s">
        <v>2</v>
      </c>
      <c r="H67" s="6">
        <v>10</v>
      </c>
      <c r="I67" s="6">
        <v>10</v>
      </c>
      <c r="J67" s="8">
        <f t="shared" si="4"/>
        <v>0</v>
      </c>
      <c r="K67" s="9">
        <f t="shared" si="5"/>
        <v>1</v>
      </c>
    </row>
    <row r="68" spans="1:11" ht="15.75" customHeight="1">
      <c r="A68" s="5">
        <v>67</v>
      </c>
      <c r="B68" s="6" t="s">
        <v>19</v>
      </c>
      <c r="C68" s="6" t="s">
        <v>20</v>
      </c>
      <c r="D68" s="10" t="s">
        <v>82</v>
      </c>
      <c r="E68" s="6" t="s">
        <v>84</v>
      </c>
      <c r="F68" s="6" t="s">
        <v>76</v>
      </c>
      <c r="G68" s="6" t="s">
        <v>2</v>
      </c>
      <c r="H68" s="6">
        <v>15</v>
      </c>
      <c r="I68" s="6">
        <v>15</v>
      </c>
      <c r="J68" s="8">
        <f t="shared" si="4"/>
        <v>0</v>
      </c>
      <c r="K68" s="9">
        <f t="shared" si="5"/>
        <v>1</v>
      </c>
    </row>
    <row r="69" spans="1:11" ht="15.75" customHeight="1">
      <c r="A69" s="5">
        <v>68</v>
      </c>
      <c r="B69" s="6" t="s">
        <v>85</v>
      </c>
      <c r="C69" s="6" t="s">
        <v>45</v>
      </c>
      <c r="D69" s="10" t="s">
        <v>46</v>
      </c>
      <c r="E69" s="6" t="s">
        <v>86</v>
      </c>
      <c r="F69" s="6" t="s">
        <v>23</v>
      </c>
      <c r="G69" s="6" t="s">
        <v>4</v>
      </c>
      <c r="H69" s="6">
        <v>20</v>
      </c>
      <c r="I69" s="6">
        <v>20</v>
      </c>
      <c r="J69" s="8">
        <f t="shared" si="4"/>
        <v>0</v>
      </c>
      <c r="K69" s="9">
        <f t="shared" si="5"/>
        <v>1</v>
      </c>
    </row>
    <row r="70" spans="1:11" ht="15.75" customHeight="1">
      <c r="A70" s="5">
        <v>69</v>
      </c>
      <c r="B70" s="6" t="s">
        <v>85</v>
      </c>
      <c r="C70" s="6" t="s">
        <v>87</v>
      </c>
      <c r="E70" s="6" t="s">
        <v>88</v>
      </c>
      <c r="F70" s="10"/>
      <c r="G70" s="6" t="s">
        <v>4</v>
      </c>
      <c r="H70" s="6">
        <v>30</v>
      </c>
      <c r="I70" s="6">
        <v>40</v>
      </c>
      <c r="J70" s="8">
        <f t="shared" si="4"/>
        <v>-10</v>
      </c>
      <c r="K70" s="9">
        <f t="shared" si="5"/>
        <v>1.3333333333333333</v>
      </c>
    </row>
    <row r="71" spans="1:11" ht="15.75" customHeight="1">
      <c r="A71" s="5">
        <v>70</v>
      </c>
      <c r="B71" s="6" t="s">
        <v>85</v>
      </c>
      <c r="C71" s="6" t="s">
        <v>45</v>
      </c>
      <c r="E71" s="6" t="s">
        <v>89</v>
      </c>
      <c r="F71" s="6" t="s">
        <v>76</v>
      </c>
      <c r="G71" s="6" t="s">
        <v>4</v>
      </c>
      <c r="H71" s="6">
        <v>15</v>
      </c>
      <c r="I71" s="10"/>
      <c r="J71" s="8">
        <f t="shared" si="4"/>
        <v>15</v>
      </c>
      <c r="K71" s="9">
        <f t="shared" si="5"/>
        <v>0</v>
      </c>
    </row>
    <row r="72" spans="1:11" ht="15.75" customHeight="1">
      <c r="A72" s="5">
        <v>71</v>
      </c>
      <c r="B72" s="6" t="s">
        <v>85</v>
      </c>
      <c r="C72" s="6" t="s">
        <v>45</v>
      </c>
      <c r="D72" s="10" t="s">
        <v>90</v>
      </c>
      <c r="E72" s="6" t="s">
        <v>91</v>
      </c>
      <c r="F72" s="6" t="s">
        <v>76</v>
      </c>
      <c r="G72" s="6" t="s">
        <v>4</v>
      </c>
      <c r="H72" s="6">
        <v>10</v>
      </c>
      <c r="I72" s="6">
        <v>10</v>
      </c>
      <c r="J72" s="8">
        <f t="shared" si="4"/>
        <v>0</v>
      </c>
      <c r="K72" s="9">
        <f t="shared" si="5"/>
        <v>1</v>
      </c>
    </row>
    <row r="73" spans="1:11" ht="15.75" customHeight="1">
      <c r="A73" s="5">
        <v>72</v>
      </c>
      <c r="B73" s="6" t="s">
        <v>85</v>
      </c>
      <c r="C73" s="6" t="s">
        <v>82</v>
      </c>
      <c r="D73" s="10" t="s">
        <v>82</v>
      </c>
      <c r="E73" s="6" t="s">
        <v>92</v>
      </c>
      <c r="F73" s="6" t="s">
        <v>23</v>
      </c>
      <c r="G73" s="6" t="s">
        <v>0</v>
      </c>
      <c r="H73" s="6">
        <v>20</v>
      </c>
      <c r="I73" s="10"/>
      <c r="J73" s="8">
        <f t="shared" si="4"/>
        <v>20</v>
      </c>
      <c r="K73" s="9">
        <f t="shared" si="5"/>
        <v>0</v>
      </c>
    </row>
    <row r="74" spans="1:11" ht="15.75" customHeight="1">
      <c r="A74" s="5">
        <v>73</v>
      </c>
      <c r="B74" s="6" t="s">
        <v>85</v>
      </c>
      <c r="C74" s="6" t="s">
        <v>82</v>
      </c>
      <c r="D74" s="10" t="s">
        <v>82</v>
      </c>
      <c r="E74" s="6" t="s">
        <v>93</v>
      </c>
      <c r="F74" s="10"/>
      <c r="G74" s="6" t="s">
        <v>0</v>
      </c>
      <c r="H74" s="6">
        <v>40</v>
      </c>
      <c r="I74" s="6">
        <v>40</v>
      </c>
      <c r="J74" s="8">
        <f t="shared" si="4"/>
        <v>0</v>
      </c>
      <c r="K74" s="9">
        <f t="shared" si="5"/>
        <v>1</v>
      </c>
    </row>
    <row r="75" spans="1:11" ht="15.75" customHeight="1">
      <c r="A75" s="5">
        <v>74</v>
      </c>
      <c r="B75" s="6" t="s">
        <v>85</v>
      </c>
      <c r="C75" s="6" t="s">
        <v>82</v>
      </c>
      <c r="D75" s="10" t="s">
        <v>94</v>
      </c>
      <c r="E75" s="6" t="s">
        <v>95</v>
      </c>
      <c r="F75" s="6" t="s">
        <v>76</v>
      </c>
      <c r="G75" s="6" t="s">
        <v>0</v>
      </c>
      <c r="H75" s="6">
        <v>30</v>
      </c>
      <c r="I75" s="10">
        <v>20</v>
      </c>
      <c r="J75" s="8">
        <f t="shared" si="4"/>
        <v>10</v>
      </c>
      <c r="K75" s="9">
        <f t="shared" si="5"/>
        <v>0.66666666666666663</v>
      </c>
    </row>
    <row r="76" spans="1:11" ht="15.75" customHeight="1">
      <c r="A76" s="5">
        <v>75</v>
      </c>
      <c r="B76" s="6" t="s">
        <v>85</v>
      </c>
      <c r="C76" s="6" t="s">
        <v>96</v>
      </c>
      <c r="D76" s="10" t="s">
        <v>94</v>
      </c>
      <c r="E76" s="6" t="s">
        <v>97</v>
      </c>
      <c r="F76" s="6" t="s">
        <v>23</v>
      </c>
      <c r="G76" s="6" t="s">
        <v>2</v>
      </c>
      <c r="H76" s="6">
        <v>40</v>
      </c>
      <c r="I76" s="6">
        <v>30</v>
      </c>
      <c r="J76" s="8">
        <f t="shared" si="4"/>
        <v>10</v>
      </c>
      <c r="K76" s="9">
        <f t="shared" si="5"/>
        <v>0.75</v>
      </c>
    </row>
    <row r="77" spans="1:11" ht="15.75" customHeight="1">
      <c r="A77" s="5">
        <v>76</v>
      </c>
      <c r="B77" s="6" t="s">
        <v>85</v>
      </c>
      <c r="C77" s="6" t="s">
        <v>96</v>
      </c>
      <c r="D77" s="10" t="s">
        <v>94</v>
      </c>
      <c r="E77" s="6" t="s">
        <v>98</v>
      </c>
      <c r="F77" s="6" t="s">
        <v>74</v>
      </c>
      <c r="G77" s="6" t="s">
        <v>2</v>
      </c>
      <c r="H77" s="6">
        <v>45</v>
      </c>
      <c r="I77" s="10">
        <v>45</v>
      </c>
      <c r="J77" s="8">
        <f t="shared" si="4"/>
        <v>0</v>
      </c>
      <c r="K77" s="9">
        <f t="shared" si="5"/>
        <v>1</v>
      </c>
    </row>
    <row r="78" spans="1:11" ht="15.75" customHeight="1">
      <c r="A78" s="5">
        <v>77</v>
      </c>
      <c r="B78" s="6" t="s">
        <v>85</v>
      </c>
      <c r="C78" s="6" t="s">
        <v>96</v>
      </c>
      <c r="D78" s="10" t="s">
        <v>99</v>
      </c>
      <c r="E78" s="6" t="s">
        <v>100</v>
      </c>
      <c r="F78" s="6" t="s">
        <v>76</v>
      </c>
      <c r="G78" s="6" t="s">
        <v>2</v>
      </c>
      <c r="H78" s="6">
        <v>10</v>
      </c>
      <c r="I78" s="10"/>
      <c r="J78" s="8">
        <f t="shared" si="4"/>
        <v>10</v>
      </c>
      <c r="K78" s="9">
        <f t="shared" si="5"/>
        <v>0</v>
      </c>
    </row>
    <row r="79" spans="1:11" ht="15.75" customHeight="1">
      <c r="A79" s="5">
        <v>78</v>
      </c>
      <c r="B79" s="6" t="s">
        <v>85</v>
      </c>
      <c r="C79" s="6" t="s">
        <v>96</v>
      </c>
      <c r="D79" s="10" t="s">
        <v>101</v>
      </c>
      <c r="E79" s="6" t="s">
        <v>102</v>
      </c>
      <c r="F79" s="6" t="s">
        <v>23</v>
      </c>
      <c r="G79" s="6" t="s">
        <v>4</v>
      </c>
      <c r="H79" s="6">
        <v>10</v>
      </c>
      <c r="I79" s="10"/>
      <c r="J79" s="8">
        <f t="shared" si="4"/>
        <v>10</v>
      </c>
      <c r="K79" s="9">
        <f t="shared" si="5"/>
        <v>0</v>
      </c>
    </row>
    <row r="80" spans="1:11" ht="15.75" customHeight="1">
      <c r="A80" s="5">
        <v>79</v>
      </c>
      <c r="B80" s="6" t="s">
        <v>85</v>
      </c>
      <c r="C80" s="6" t="s">
        <v>96</v>
      </c>
      <c r="D80" s="10" t="s">
        <v>101</v>
      </c>
      <c r="E80" s="6" t="s">
        <v>103</v>
      </c>
      <c r="F80" s="6" t="s">
        <v>76</v>
      </c>
      <c r="G80" s="6" t="s">
        <v>0</v>
      </c>
      <c r="H80" s="6">
        <v>15</v>
      </c>
      <c r="I80" s="10"/>
      <c r="J80" s="8">
        <f t="shared" si="4"/>
        <v>15</v>
      </c>
      <c r="K80" s="9">
        <f t="shared" si="5"/>
        <v>0</v>
      </c>
    </row>
    <row r="81" spans="1:11" ht="15.75" customHeight="1">
      <c r="A81" s="5">
        <v>80</v>
      </c>
      <c r="B81" s="6" t="s">
        <v>85</v>
      </c>
      <c r="C81" s="6" t="s">
        <v>104</v>
      </c>
      <c r="D81" s="10" t="s">
        <v>32</v>
      </c>
      <c r="E81" s="6" t="s">
        <v>105</v>
      </c>
      <c r="F81" s="6" t="s">
        <v>74</v>
      </c>
      <c r="G81" s="6" t="s">
        <v>2</v>
      </c>
      <c r="H81" s="6">
        <v>20</v>
      </c>
      <c r="I81" s="10"/>
      <c r="J81" s="8">
        <f t="shared" si="4"/>
        <v>20</v>
      </c>
      <c r="K81" s="9">
        <f t="shared" si="5"/>
        <v>0</v>
      </c>
    </row>
    <row r="82" spans="1:11" ht="15.75" customHeight="1">
      <c r="A82" s="5">
        <v>81</v>
      </c>
      <c r="B82" s="6" t="s">
        <v>85</v>
      </c>
      <c r="C82" s="6" t="s">
        <v>104</v>
      </c>
      <c r="D82" s="10" t="s">
        <v>32</v>
      </c>
      <c r="E82" s="6" t="s">
        <v>106</v>
      </c>
      <c r="F82" s="6" t="s">
        <v>76</v>
      </c>
      <c r="G82" s="6" t="s">
        <v>6</v>
      </c>
      <c r="H82" s="6">
        <v>20</v>
      </c>
      <c r="I82" s="10"/>
      <c r="J82" s="8">
        <f t="shared" si="4"/>
        <v>20</v>
      </c>
      <c r="K82" s="9">
        <f t="shared" si="5"/>
        <v>0</v>
      </c>
    </row>
    <row r="83" spans="1:11" ht="15.75" customHeight="1">
      <c r="A83" s="5">
        <v>82</v>
      </c>
      <c r="B83" s="6" t="s">
        <v>85</v>
      </c>
      <c r="C83" s="6" t="s">
        <v>104</v>
      </c>
      <c r="D83" s="10" t="s">
        <v>32</v>
      </c>
      <c r="E83" s="6" t="s">
        <v>107</v>
      </c>
      <c r="F83" s="6" t="s">
        <v>23</v>
      </c>
      <c r="G83" s="6" t="s">
        <v>6</v>
      </c>
      <c r="H83" s="6">
        <v>15</v>
      </c>
      <c r="I83" s="10"/>
      <c r="J83" s="8">
        <f t="shared" si="4"/>
        <v>15</v>
      </c>
      <c r="K83" s="9">
        <f t="shared" si="5"/>
        <v>0</v>
      </c>
    </row>
    <row r="84" spans="1:11" ht="15.75" customHeight="1">
      <c r="A84" s="5">
        <v>83</v>
      </c>
      <c r="B84" s="6" t="s">
        <v>85</v>
      </c>
      <c r="C84" s="6" t="s">
        <v>104</v>
      </c>
      <c r="D84" s="10" t="s">
        <v>32</v>
      </c>
      <c r="E84" s="6" t="s">
        <v>108</v>
      </c>
      <c r="F84" s="6" t="s">
        <v>76</v>
      </c>
      <c r="G84" s="6" t="s">
        <v>6</v>
      </c>
      <c r="H84" s="6">
        <v>20</v>
      </c>
      <c r="I84" s="10"/>
      <c r="J84" s="8">
        <f t="shared" si="4"/>
        <v>20</v>
      </c>
      <c r="K84" s="9">
        <f t="shared" si="5"/>
        <v>0</v>
      </c>
    </row>
    <row r="85" spans="1:11" ht="15.75" customHeight="1">
      <c r="A85" s="5">
        <v>84</v>
      </c>
      <c r="B85" s="6" t="s">
        <v>109</v>
      </c>
      <c r="C85" s="6" t="s">
        <v>87</v>
      </c>
      <c r="E85" s="6" t="s">
        <v>110</v>
      </c>
      <c r="F85" s="6" t="s">
        <v>76</v>
      </c>
      <c r="G85" s="6" t="s">
        <v>0</v>
      </c>
      <c r="H85" s="6">
        <v>10</v>
      </c>
      <c r="I85" s="6">
        <v>10</v>
      </c>
      <c r="J85" s="8">
        <f t="shared" si="4"/>
        <v>0</v>
      </c>
      <c r="K85" s="9">
        <f t="shared" si="5"/>
        <v>1</v>
      </c>
    </row>
    <row r="86" spans="1:11" ht="15.75" customHeight="1">
      <c r="A86" s="5">
        <v>85</v>
      </c>
      <c r="B86" s="6" t="s">
        <v>109</v>
      </c>
      <c r="C86" s="6" t="s">
        <v>87</v>
      </c>
      <c r="E86" s="6" t="s">
        <v>110</v>
      </c>
      <c r="F86" s="6" t="s">
        <v>76</v>
      </c>
      <c r="G86" s="6" t="s">
        <v>2</v>
      </c>
      <c r="H86" s="6">
        <v>10</v>
      </c>
      <c r="I86" s="6">
        <v>10</v>
      </c>
      <c r="J86" s="8">
        <f t="shared" si="4"/>
        <v>0</v>
      </c>
      <c r="K86" s="9">
        <f t="shared" si="5"/>
        <v>1</v>
      </c>
    </row>
    <row r="87" spans="1:11" ht="15.75" customHeight="1">
      <c r="A87" s="5">
        <v>86</v>
      </c>
      <c r="B87" s="6" t="s">
        <v>109</v>
      </c>
      <c r="C87" s="6" t="s">
        <v>87</v>
      </c>
      <c r="E87" s="6" t="s">
        <v>110</v>
      </c>
      <c r="F87" s="6" t="s">
        <v>76</v>
      </c>
      <c r="G87" s="6" t="s">
        <v>4</v>
      </c>
      <c r="H87" s="6">
        <v>10</v>
      </c>
      <c r="I87" s="6">
        <v>10</v>
      </c>
      <c r="J87" s="8">
        <f t="shared" si="4"/>
        <v>0</v>
      </c>
      <c r="K87" s="9">
        <f t="shared" si="5"/>
        <v>1</v>
      </c>
    </row>
    <row r="88" spans="1:11" ht="15.75" customHeight="1">
      <c r="A88" s="5">
        <v>87</v>
      </c>
      <c r="B88" s="6" t="s">
        <v>109</v>
      </c>
      <c r="C88" s="6" t="s">
        <v>87</v>
      </c>
      <c r="E88" s="6" t="s">
        <v>110</v>
      </c>
      <c r="F88" s="6" t="s">
        <v>76</v>
      </c>
      <c r="G88" s="6" t="s">
        <v>6</v>
      </c>
      <c r="H88" s="6">
        <v>10</v>
      </c>
      <c r="I88" s="6">
        <v>10</v>
      </c>
      <c r="J88" s="8">
        <f t="shared" si="4"/>
        <v>0</v>
      </c>
      <c r="K88" s="9">
        <f t="shared" si="5"/>
        <v>1</v>
      </c>
    </row>
    <row r="89" spans="1:11" ht="15.75" customHeight="1">
      <c r="A89" s="5">
        <v>88</v>
      </c>
      <c r="B89" s="6" t="s">
        <v>19</v>
      </c>
      <c r="C89" s="6" t="s">
        <v>87</v>
      </c>
      <c r="E89" s="6" t="s">
        <v>111</v>
      </c>
      <c r="F89" s="6" t="s">
        <v>76</v>
      </c>
      <c r="G89" s="6" t="s">
        <v>0</v>
      </c>
      <c r="H89" s="6">
        <v>15</v>
      </c>
      <c r="I89" s="6">
        <v>15</v>
      </c>
      <c r="J89" s="8">
        <f t="shared" si="4"/>
        <v>0</v>
      </c>
      <c r="K89" s="9">
        <f t="shared" si="5"/>
        <v>1</v>
      </c>
    </row>
    <row r="90" spans="1:11" ht="15.75" customHeight="1">
      <c r="A90" s="5">
        <v>89</v>
      </c>
      <c r="B90" s="6" t="s">
        <v>85</v>
      </c>
      <c r="C90" s="6" t="s">
        <v>87</v>
      </c>
      <c r="E90" s="6" t="s">
        <v>112</v>
      </c>
      <c r="F90" s="6" t="s">
        <v>76</v>
      </c>
      <c r="G90" s="6" t="s">
        <v>2</v>
      </c>
      <c r="H90" s="6">
        <v>15</v>
      </c>
      <c r="I90" s="6">
        <v>15</v>
      </c>
      <c r="J90" s="8">
        <f t="shared" si="4"/>
        <v>0</v>
      </c>
      <c r="K90" s="9">
        <f t="shared" si="5"/>
        <v>1</v>
      </c>
    </row>
    <row r="91" spans="1:11" ht="15.75" customHeight="1">
      <c r="A91" s="5">
        <v>90</v>
      </c>
      <c r="B91" s="6" t="s">
        <v>113</v>
      </c>
      <c r="C91" s="10"/>
      <c r="E91" s="6" t="s">
        <v>114</v>
      </c>
      <c r="F91" s="6" t="s">
        <v>74</v>
      </c>
      <c r="G91" s="6" t="s">
        <v>0</v>
      </c>
      <c r="H91" s="6">
        <v>20</v>
      </c>
      <c r="I91" s="6">
        <v>20</v>
      </c>
      <c r="J91" s="8">
        <f t="shared" si="4"/>
        <v>0</v>
      </c>
      <c r="K91" s="9">
        <f t="shared" si="5"/>
        <v>1</v>
      </c>
    </row>
    <row r="92" spans="1:11" ht="15.75" customHeight="1">
      <c r="I92" s="10"/>
    </row>
    <row r="93" spans="1:11" ht="15.75" customHeight="1">
      <c r="I93" s="10"/>
    </row>
    <row r="94" spans="1:11" ht="15.75" customHeight="1">
      <c r="I94" s="10"/>
    </row>
    <row r="95" spans="1:11" ht="15.75" customHeight="1">
      <c r="I95" s="10"/>
    </row>
    <row r="96" spans="1:11" ht="15.75" customHeight="1">
      <c r="I96" s="10"/>
    </row>
    <row r="97" spans="9:9" ht="15.75" customHeight="1">
      <c r="I97" s="10"/>
    </row>
    <row r="98" spans="9:9" ht="15.75" customHeight="1">
      <c r="I98" s="10"/>
    </row>
    <row r="99" spans="9:9" ht="15.75" customHeight="1">
      <c r="I99" s="10"/>
    </row>
    <row r="100" spans="9:9" ht="15.75" customHeight="1">
      <c r="I100" s="10"/>
    </row>
    <row r="101" spans="9:9" ht="15.75" customHeight="1">
      <c r="I101" s="10"/>
    </row>
    <row r="102" spans="9:9" ht="15.75" customHeight="1">
      <c r="I102" s="10"/>
    </row>
    <row r="103" spans="9:9" ht="15.75" customHeight="1">
      <c r="I103" s="10"/>
    </row>
    <row r="104" spans="9:9" ht="15.75" customHeight="1">
      <c r="I104" s="10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/>
  </sheetViews>
  <sheetFormatPr baseColWidth="10" defaultColWidth="11.5703125" defaultRowHeight="12.75"/>
  <sheetData>
    <row r="1" spans="1:4">
      <c r="A1" s="12"/>
      <c r="B1" s="13" t="s">
        <v>115</v>
      </c>
      <c r="C1" s="14"/>
      <c r="D1" s="15"/>
    </row>
    <row r="2" spans="1:4">
      <c r="A2" s="16" t="s">
        <v>14</v>
      </c>
      <c r="B2" s="17" t="s">
        <v>116</v>
      </c>
      <c r="C2" s="18" t="s">
        <v>117</v>
      </c>
      <c r="D2" s="19" t="s">
        <v>118</v>
      </c>
    </row>
    <row r="3" spans="1:4">
      <c r="A3" s="20" t="s">
        <v>0</v>
      </c>
      <c r="B3" s="21">
        <v>377</v>
      </c>
      <c r="C3" s="22">
        <v>170</v>
      </c>
      <c r="D3" s="23">
        <v>207</v>
      </c>
    </row>
    <row r="4" spans="1:4">
      <c r="A4" s="24" t="s">
        <v>2</v>
      </c>
      <c r="B4" s="25">
        <v>370</v>
      </c>
      <c r="C4" s="26">
        <v>90</v>
      </c>
      <c r="D4" s="27">
        <v>280</v>
      </c>
    </row>
    <row r="5" spans="1:4">
      <c r="A5" s="24" t="s">
        <v>4</v>
      </c>
      <c r="B5" s="25">
        <v>375</v>
      </c>
      <c r="C5" s="26">
        <v>140</v>
      </c>
      <c r="D5" s="27">
        <v>235</v>
      </c>
    </row>
    <row r="6" spans="1:4">
      <c r="A6" s="24" t="s">
        <v>6</v>
      </c>
      <c r="B6" s="28">
        <v>360</v>
      </c>
      <c r="C6" s="29">
        <v>103</v>
      </c>
      <c r="D6" s="30">
        <v>257</v>
      </c>
    </row>
    <row r="7" spans="1:4">
      <c r="A7" s="31" t="s">
        <v>119</v>
      </c>
      <c r="B7" s="32">
        <v>1482</v>
      </c>
      <c r="C7" s="33">
        <v>503</v>
      </c>
      <c r="D7" s="34">
        <v>979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zoomScaleNormal="100" workbookViewId="0">
      <selection activeCell="D3" sqref="D3"/>
    </sheetView>
  </sheetViews>
  <sheetFormatPr baseColWidth="10" defaultColWidth="12.5703125" defaultRowHeight="12.75"/>
  <cols>
    <col min="1" max="1" width="26.42578125" customWidth="1"/>
    <col min="2" max="2" width="27.140625" customWidth="1"/>
    <col min="3" max="3" width="25.42578125" customWidth="1"/>
    <col min="4" max="4" width="18.28515625" customWidth="1"/>
    <col min="5" max="5" width="13.7109375" customWidth="1"/>
  </cols>
  <sheetData>
    <row r="1" spans="1:5" ht="15.75">
      <c r="A1" s="35" t="s">
        <v>120</v>
      </c>
      <c r="B1" s="35" t="s">
        <v>121</v>
      </c>
      <c r="C1" s="35" t="s">
        <v>122</v>
      </c>
      <c r="D1" s="35" t="s">
        <v>123</v>
      </c>
      <c r="E1" s="35" t="s">
        <v>124</v>
      </c>
    </row>
    <row r="2" spans="1:5" ht="15">
      <c r="A2" s="36">
        <f>SUM('liste des taches'!H:H)</f>
        <v>1627</v>
      </c>
      <c r="B2" s="36">
        <f>SUM('liste des taches'!I:I)</f>
        <v>810</v>
      </c>
      <c r="C2" s="36">
        <f>SUM('liste des taches'!J:J)</f>
        <v>817</v>
      </c>
      <c r="D2" s="37">
        <f>B2/(A2+C2)</f>
        <v>0.33142389525368249</v>
      </c>
      <c r="E2" s="38">
        <f>((B2+C2)-A2)/A2</f>
        <v>0</v>
      </c>
    </row>
    <row r="3" spans="1:5" ht="15">
      <c r="A3" s="39"/>
      <c r="B3" s="39"/>
      <c r="C3" s="36">
        <f>C2/60</f>
        <v>13.616666666666667</v>
      </c>
      <c r="D3" s="39" t="s">
        <v>125</v>
      </c>
      <c r="E3" s="39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"/>
  <sheetViews>
    <sheetView zoomScaleNormal="100" workbookViewId="0">
      <selection activeCell="C71" sqref="C71"/>
    </sheetView>
  </sheetViews>
  <sheetFormatPr baseColWidth="10" defaultColWidth="12.5703125" defaultRowHeight="12.75"/>
  <sheetData>
    <row r="1" spans="1:5" ht="15.75">
      <c r="A1" s="40" t="s">
        <v>8</v>
      </c>
      <c r="B1" s="41" t="s">
        <v>126</v>
      </c>
      <c r="C1" s="42">
        <v>46042</v>
      </c>
      <c r="D1" s="42">
        <v>46049</v>
      </c>
      <c r="E1" s="42">
        <v>46050</v>
      </c>
    </row>
    <row r="2" spans="1:5" ht="15">
      <c r="A2" s="43">
        <v>1</v>
      </c>
      <c r="B2" s="36">
        <f t="shared" ref="B2:B33" si="0">SUM(C2:P2)</f>
        <v>15</v>
      </c>
      <c r="C2" s="39">
        <v>15</v>
      </c>
      <c r="D2" s="43"/>
      <c r="E2" s="39"/>
    </row>
    <row r="3" spans="1:5" ht="15">
      <c r="A3" s="43">
        <v>2</v>
      </c>
      <c r="B3" s="36">
        <f t="shared" si="0"/>
        <v>15</v>
      </c>
      <c r="C3" s="39">
        <v>15</v>
      </c>
      <c r="D3" s="39"/>
      <c r="E3" s="39"/>
    </row>
    <row r="4" spans="1:5" ht="15">
      <c r="A4" s="43">
        <v>3</v>
      </c>
      <c r="B4" s="36">
        <f t="shared" si="0"/>
        <v>20</v>
      </c>
      <c r="C4" s="43">
        <v>20</v>
      </c>
      <c r="D4" s="43"/>
      <c r="E4" s="39"/>
    </row>
    <row r="5" spans="1:5" ht="15">
      <c r="A5" s="43">
        <v>4</v>
      </c>
      <c r="B5" s="36">
        <f t="shared" si="0"/>
        <v>45</v>
      </c>
      <c r="C5" s="39"/>
      <c r="D5" s="39">
        <v>45</v>
      </c>
      <c r="E5" s="39"/>
    </row>
    <row r="6" spans="1:5" ht="15">
      <c r="A6" s="43">
        <v>5</v>
      </c>
      <c r="B6" s="36">
        <f t="shared" si="0"/>
        <v>20</v>
      </c>
      <c r="C6" s="39"/>
      <c r="D6" s="44">
        <v>20</v>
      </c>
      <c r="E6" s="39"/>
    </row>
    <row r="7" spans="1:5" ht="15">
      <c r="A7" s="43">
        <v>6</v>
      </c>
      <c r="B7" s="36">
        <f t="shared" si="0"/>
        <v>20</v>
      </c>
      <c r="C7" s="39"/>
      <c r="D7" s="39">
        <v>20</v>
      </c>
      <c r="E7" s="39"/>
    </row>
    <row r="8" spans="1:5" ht="15">
      <c r="A8" s="43">
        <v>7</v>
      </c>
      <c r="B8" s="36">
        <f t="shared" si="0"/>
        <v>40</v>
      </c>
      <c r="C8" s="39">
        <v>20</v>
      </c>
      <c r="D8" s="44">
        <v>20</v>
      </c>
      <c r="E8" s="39"/>
    </row>
    <row r="9" spans="1:5" ht="15">
      <c r="A9" s="1">
        <v>8</v>
      </c>
      <c r="B9" s="36">
        <f t="shared" si="0"/>
        <v>15</v>
      </c>
      <c r="C9" s="45">
        <v>15</v>
      </c>
      <c r="D9" s="1"/>
    </row>
    <row r="10" spans="1:5" ht="15">
      <c r="A10" s="1">
        <v>9</v>
      </c>
      <c r="B10" s="36">
        <f t="shared" si="0"/>
        <v>15</v>
      </c>
      <c r="C10" s="45">
        <v>15</v>
      </c>
    </row>
    <row r="11" spans="1:5" ht="15.75" customHeight="1">
      <c r="A11" s="1">
        <v>10</v>
      </c>
      <c r="B11" s="36">
        <f t="shared" si="0"/>
        <v>0</v>
      </c>
      <c r="C11" s="45"/>
    </row>
    <row r="12" spans="1:5" ht="15.75" customHeight="1">
      <c r="A12" s="1">
        <v>11</v>
      </c>
      <c r="B12" s="36">
        <f t="shared" si="0"/>
        <v>0</v>
      </c>
      <c r="C12" s="45"/>
    </row>
    <row r="13" spans="1:5" ht="15.75" customHeight="1">
      <c r="A13" s="1">
        <v>12</v>
      </c>
      <c r="B13" s="36">
        <f t="shared" si="0"/>
        <v>0</v>
      </c>
      <c r="C13" s="45"/>
    </row>
    <row r="14" spans="1:5" ht="15.75" customHeight="1">
      <c r="A14" s="1">
        <v>13</v>
      </c>
      <c r="B14" s="36">
        <f t="shared" si="0"/>
        <v>0</v>
      </c>
      <c r="C14" s="45"/>
    </row>
    <row r="15" spans="1:5" ht="15.75" customHeight="1">
      <c r="A15" s="1">
        <v>14</v>
      </c>
      <c r="B15" s="36">
        <f t="shared" si="0"/>
        <v>0</v>
      </c>
      <c r="C15" s="45"/>
    </row>
    <row r="16" spans="1:5" ht="15.75" customHeight="1">
      <c r="A16" s="1">
        <v>15</v>
      </c>
      <c r="B16" s="36">
        <f t="shared" si="0"/>
        <v>0</v>
      </c>
      <c r="C16" s="45"/>
    </row>
    <row r="17" spans="1:3" ht="15.75" customHeight="1">
      <c r="A17" s="1">
        <v>16</v>
      </c>
      <c r="B17" s="36">
        <f t="shared" si="0"/>
        <v>0</v>
      </c>
      <c r="C17" s="45"/>
    </row>
    <row r="18" spans="1:3" ht="15.75" customHeight="1">
      <c r="A18" s="1">
        <v>17</v>
      </c>
      <c r="B18" s="36">
        <f t="shared" si="0"/>
        <v>0</v>
      </c>
      <c r="C18" s="45"/>
    </row>
    <row r="19" spans="1:3" ht="15.75" customHeight="1">
      <c r="A19" s="1">
        <v>18</v>
      </c>
      <c r="B19" s="36">
        <f t="shared" si="0"/>
        <v>0</v>
      </c>
      <c r="C19" s="45"/>
    </row>
    <row r="20" spans="1:3" ht="15.75" customHeight="1">
      <c r="A20" s="1">
        <v>19</v>
      </c>
      <c r="B20" s="36">
        <f t="shared" si="0"/>
        <v>0</v>
      </c>
      <c r="C20" s="45"/>
    </row>
    <row r="21" spans="1:3" ht="15.75" customHeight="1">
      <c r="A21" s="1">
        <v>20</v>
      </c>
      <c r="B21" s="36">
        <f t="shared" si="0"/>
        <v>0</v>
      </c>
      <c r="C21" s="45"/>
    </row>
    <row r="22" spans="1:3" ht="15.75" customHeight="1">
      <c r="A22" s="1">
        <v>21</v>
      </c>
      <c r="B22" s="36">
        <f t="shared" si="0"/>
        <v>0</v>
      </c>
      <c r="C22" s="45"/>
    </row>
    <row r="23" spans="1:3" ht="15.75" customHeight="1">
      <c r="A23" s="1">
        <v>22</v>
      </c>
      <c r="B23" s="36">
        <f t="shared" si="0"/>
        <v>0</v>
      </c>
      <c r="C23" s="45"/>
    </row>
    <row r="24" spans="1:3" ht="15.75" customHeight="1">
      <c r="A24" s="1">
        <v>23</v>
      </c>
      <c r="B24" s="36">
        <f t="shared" si="0"/>
        <v>0</v>
      </c>
      <c r="C24" s="45"/>
    </row>
    <row r="25" spans="1:3" ht="15.75" customHeight="1">
      <c r="A25" s="1">
        <v>24</v>
      </c>
      <c r="B25" s="36">
        <f t="shared" si="0"/>
        <v>0</v>
      </c>
      <c r="C25" s="45"/>
    </row>
    <row r="26" spans="1:3" ht="15.75" customHeight="1">
      <c r="A26" s="1">
        <v>25</v>
      </c>
      <c r="B26" s="36">
        <f t="shared" si="0"/>
        <v>0</v>
      </c>
      <c r="C26" s="45"/>
    </row>
    <row r="27" spans="1:3" ht="15.75" customHeight="1">
      <c r="A27" s="1">
        <v>26</v>
      </c>
      <c r="B27" s="36">
        <f t="shared" si="0"/>
        <v>0</v>
      </c>
      <c r="C27" s="45"/>
    </row>
    <row r="28" spans="1:3" ht="15.75" customHeight="1">
      <c r="A28" s="1">
        <v>27</v>
      </c>
      <c r="B28" s="36">
        <f t="shared" si="0"/>
        <v>10</v>
      </c>
      <c r="C28" s="45">
        <v>10</v>
      </c>
    </row>
    <row r="29" spans="1:3" ht="15.75" customHeight="1">
      <c r="A29" s="1">
        <v>28</v>
      </c>
      <c r="B29" s="36">
        <f t="shared" si="0"/>
        <v>15</v>
      </c>
      <c r="C29" s="45">
        <v>15</v>
      </c>
    </row>
    <row r="30" spans="1:3" ht="15.75" customHeight="1">
      <c r="A30" s="1">
        <v>29</v>
      </c>
      <c r="B30" s="36">
        <f t="shared" si="0"/>
        <v>15</v>
      </c>
      <c r="C30" s="45">
        <v>15</v>
      </c>
    </row>
    <row r="31" spans="1:3" ht="15.75" customHeight="1">
      <c r="A31" s="1">
        <v>30</v>
      </c>
      <c r="B31" s="36">
        <f t="shared" si="0"/>
        <v>10</v>
      </c>
      <c r="C31" s="45">
        <v>10</v>
      </c>
    </row>
    <row r="32" spans="1:3" ht="15.75" customHeight="1">
      <c r="A32" s="1">
        <v>31</v>
      </c>
      <c r="B32" s="36">
        <f t="shared" si="0"/>
        <v>15</v>
      </c>
      <c r="C32" s="45">
        <v>15</v>
      </c>
    </row>
    <row r="33" spans="1:3" ht="15.75" customHeight="1">
      <c r="A33" s="1">
        <v>32</v>
      </c>
      <c r="B33" s="36">
        <f t="shared" si="0"/>
        <v>15</v>
      </c>
      <c r="C33" s="45">
        <v>15</v>
      </c>
    </row>
    <row r="34" spans="1:3" ht="15.75" customHeight="1">
      <c r="A34" s="1">
        <v>33</v>
      </c>
      <c r="B34" s="36">
        <f t="shared" ref="B34:B65" si="1">SUM(C34:P34)</f>
        <v>0</v>
      </c>
      <c r="C34" s="45"/>
    </row>
    <row r="35" spans="1:3" ht="15.75" customHeight="1">
      <c r="A35" s="1">
        <v>34</v>
      </c>
      <c r="B35" s="36">
        <f t="shared" si="1"/>
        <v>0</v>
      </c>
      <c r="C35" s="45"/>
    </row>
    <row r="36" spans="1:3" ht="15.75" customHeight="1">
      <c r="A36" s="1">
        <v>35</v>
      </c>
      <c r="B36" s="36">
        <f t="shared" si="1"/>
        <v>0</v>
      </c>
      <c r="C36" s="45"/>
    </row>
    <row r="37" spans="1:3" ht="15.75" customHeight="1">
      <c r="A37" s="1">
        <v>36</v>
      </c>
      <c r="B37" s="36">
        <f t="shared" si="1"/>
        <v>0</v>
      </c>
      <c r="C37" s="45"/>
    </row>
    <row r="38" spans="1:3" ht="15.75" customHeight="1">
      <c r="A38" s="1">
        <v>37</v>
      </c>
      <c r="B38" s="36">
        <f t="shared" si="1"/>
        <v>0</v>
      </c>
      <c r="C38" s="45"/>
    </row>
    <row r="39" spans="1:3" ht="15.75" customHeight="1">
      <c r="A39" s="1">
        <v>38</v>
      </c>
      <c r="B39" s="36">
        <f t="shared" si="1"/>
        <v>0</v>
      </c>
      <c r="C39" s="45"/>
    </row>
    <row r="40" spans="1:3" ht="15.75" customHeight="1">
      <c r="A40" s="1">
        <v>39</v>
      </c>
      <c r="B40" s="36">
        <f t="shared" si="1"/>
        <v>0</v>
      </c>
      <c r="C40" s="45"/>
    </row>
    <row r="41" spans="1:3" ht="15.75" customHeight="1">
      <c r="A41" s="1">
        <v>40</v>
      </c>
      <c r="B41" s="36">
        <f t="shared" si="1"/>
        <v>0</v>
      </c>
      <c r="C41" s="45"/>
    </row>
    <row r="42" spans="1:3" ht="15.75" customHeight="1">
      <c r="A42" s="1">
        <v>41</v>
      </c>
      <c r="B42" s="36">
        <f t="shared" si="1"/>
        <v>0</v>
      </c>
      <c r="C42" s="45"/>
    </row>
    <row r="43" spans="1:3" ht="15.75" customHeight="1">
      <c r="A43" s="1">
        <v>42</v>
      </c>
      <c r="B43" s="36">
        <f t="shared" si="1"/>
        <v>0</v>
      </c>
      <c r="C43" s="45"/>
    </row>
    <row r="44" spans="1:3" ht="15.75" customHeight="1">
      <c r="A44" s="1">
        <v>43</v>
      </c>
      <c r="B44" s="36">
        <f t="shared" si="1"/>
        <v>0</v>
      </c>
      <c r="C44" s="45"/>
    </row>
    <row r="45" spans="1:3" ht="15.75" customHeight="1">
      <c r="A45" s="1">
        <v>44</v>
      </c>
      <c r="B45" s="36">
        <f t="shared" si="1"/>
        <v>0</v>
      </c>
      <c r="C45" s="45"/>
    </row>
    <row r="46" spans="1:3" ht="15.75" customHeight="1">
      <c r="A46" s="1">
        <v>45</v>
      </c>
      <c r="B46" s="36">
        <f t="shared" si="1"/>
        <v>0</v>
      </c>
      <c r="C46" s="45"/>
    </row>
    <row r="47" spans="1:3" ht="15.75" customHeight="1">
      <c r="A47" s="1">
        <v>46</v>
      </c>
      <c r="B47" s="36">
        <f t="shared" si="1"/>
        <v>0</v>
      </c>
      <c r="C47" s="45"/>
    </row>
    <row r="48" spans="1:3" ht="15.75" customHeight="1">
      <c r="A48" s="1">
        <v>47</v>
      </c>
      <c r="B48" s="36">
        <f t="shared" si="1"/>
        <v>0</v>
      </c>
      <c r="C48" s="45"/>
    </row>
    <row r="49" spans="1:4" ht="15.75" customHeight="1">
      <c r="A49" s="1">
        <v>48</v>
      </c>
      <c r="B49" s="36">
        <f t="shared" si="1"/>
        <v>0</v>
      </c>
      <c r="C49" s="45"/>
    </row>
    <row r="50" spans="1:4" ht="15.75" customHeight="1">
      <c r="A50" s="1">
        <v>49</v>
      </c>
      <c r="B50" s="36">
        <f t="shared" si="1"/>
        <v>0</v>
      </c>
      <c r="C50" s="45"/>
    </row>
    <row r="51" spans="1:4" ht="15.75" customHeight="1">
      <c r="A51" s="1">
        <v>50</v>
      </c>
      <c r="B51" s="36">
        <f t="shared" si="1"/>
        <v>0</v>
      </c>
      <c r="C51" s="45"/>
    </row>
    <row r="52" spans="1:4" ht="15.75" customHeight="1">
      <c r="A52" s="1">
        <v>51</v>
      </c>
      <c r="B52" s="36">
        <f t="shared" si="1"/>
        <v>0</v>
      </c>
      <c r="C52" s="45"/>
    </row>
    <row r="53" spans="1:4" ht="15.75" customHeight="1">
      <c r="A53" s="1">
        <v>52</v>
      </c>
      <c r="B53" s="36">
        <f t="shared" si="1"/>
        <v>0</v>
      </c>
      <c r="C53" s="45"/>
    </row>
    <row r="54" spans="1:4" ht="15.75" customHeight="1">
      <c r="A54" s="1">
        <v>53</v>
      </c>
      <c r="B54" s="36">
        <f t="shared" si="1"/>
        <v>0</v>
      </c>
      <c r="C54" s="45"/>
    </row>
    <row r="55" spans="1:4" ht="15.75" customHeight="1">
      <c r="A55" s="1">
        <v>54</v>
      </c>
      <c r="B55" s="36">
        <f t="shared" si="1"/>
        <v>0</v>
      </c>
      <c r="C55" s="45"/>
    </row>
    <row r="56" spans="1:4" ht="15.75" customHeight="1">
      <c r="A56" s="1">
        <v>55</v>
      </c>
      <c r="B56" s="36">
        <f t="shared" si="1"/>
        <v>0</v>
      </c>
      <c r="C56" s="45"/>
    </row>
    <row r="57" spans="1:4" ht="15.75" customHeight="1">
      <c r="A57" s="1">
        <v>56</v>
      </c>
      <c r="B57" s="36">
        <f t="shared" si="1"/>
        <v>0</v>
      </c>
      <c r="C57" s="45"/>
    </row>
    <row r="58" spans="1:4" ht="15.75" customHeight="1">
      <c r="A58" s="1">
        <v>57</v>
      </c>
      <c r="B58" s="36">
        <f t="shared" si="1"/>
        <v>0</v>
      </c>
      <c r="C58" s="45"/>
    </row>
    <row r="59" spans="1:4" ht="15.75" customHeight="1">
      <c r="A59" s="1">
        <v>58</v>
      </c>
      <c r="B59" s="36">
        <f t="shared" si="1"/>
        <v>0</v>
      </c>
      <c r="C59" s="45"/>
    </row>
    <row r="60" spans="1:4" ht="15.75" customHeight="1">
      <c r="A60" s="1">
        <v>59</v>
      </c>
      <c r="B60" s="36">
        <f t="shared" si="1"/>
        <v>30</v>
      </c>
      <c r="C60" s="46">
        <v>10</v>
      </c>
      <c r="D60">
        <v>20</v>
      </c>
    </row>
    <row r="61" spans="1:4" ht="15.75" customHeight="1">
      <c r="A61" s="1">
        <v>60</v>
      </c>
      <c r="B61" s="36">
        <f t="shared" si="1"/>
        <v>35</v>
      </c>
      <c r="C61" s="46">
        <v>10</v>
      </c>
      <c r="D61">
        <v>25</v>
      </c>
    </row>
    <row r="62" spans="1:4" ht="15.75" customHeight="1">
      <c r="A62" s="1">
        <v>61</v>
      </c>
      <c r="B62" s="36">
        <f t="shared" si="1"/>
        <v>20</v>
      </c>
      <c r="C62" s="46">
        <v>20</v>
      </c>
    </row>
    <row r="63" spans="1:4" ht="15.75" customHeight="1">
      <c r="A63" s="1">
        <v>62</v>
      </c>
      <c r="B63" s="36">
        <f t="shared" si="1"/>
        <v>10</v>
      </c>
      <c r="C63" s="46">
        <v>10</v>
      </c>
    </row>
    <row r="64" spans="1:4" ht="15.75" customHeight="1">
      <c r="A64" s="1">
        <v>63</v>
      </c>
      <c r="B64" s="36">
        <f t="shared" si="1"/>
        <v>15</v>
      </c>
      <c r="C64" s="46">
        <v>15</v>
      </c>
    </row>
    <row r="65" spans="1:4" ht="15.75" customHeight="1">
      <c r="A65" s="1">
        <v>64</v>
      </c>
      <c r="B65" s="36">
        <f t="shared" si="1"/>
        <v>30</v>
      </c>
      <c r="C65" s="46">
        <v>30</v>
      </c>
    </row>
    <row r="66" spans="1:4" ht="15.75" customHeight="1">
      <c r="A66" s="1">
        <v>65</v>
      </c>
      <c r="B66" s="36">
        <f t="shared" ref="B66:B97" si="2">SUM(C66:P66)</f>
        <v>10</v>
      </c>
      <c r="C66" s="46">
        <v>10</v>
      </c>
    </row>
    <row r="67" spans="1:4" ht="15.75" customHeight="1">
      <c r="A67" s="1">
        <v>66</v>
      </c>
      <c r="B67" s="36">
        <f t="shared" si="2"/>
        <v>10</v>
      </c>
      <c r="C67" s="46">
        <v>10</v>
      </c>
    </row>
    <row r="68" spans="1:4" ht="15.75" customHeight="1">
      <c r="A68" s="1">
        <v>67</v>
      </c>
      <c r="B68" s="36">
        <f t="shared" si="2"/>
        <v>15</v>
      </c>
      <c r="C68" s="46">
        <v>15</v>
      </c>
    </row>
    <row r="69" spans="1:4" ht="15.75" customHeight="1">
      <c r="A69" s="1">
        <v>68</v>
      </c>
      <c r="B69" s="36">
        <f t="shared" si="2"/>
        <v>20</v>
      </c>
      <c r="C69" s="46">
        <v>20</v>
      </c>
    </row>
    <row r="70" spans="1:4" ht="15.75" customHeight="1">
      <c r="A70" s="1">
        <v>69</v>
      </c>
      <c r="B70" s="36">
        <f t="shared" si="2"/>
        <v>30</v>
      </c>
      <c r="C70" s="46">
        <v>10</v>
      </c>
      <c r="D70">
        <v>20</v>
      </c>
    </row>
    <row r="71" spans="1:4" ht="15.75" customHeight="1">
      <c r="A71" s="1">
        <v>70</v>
      </c>
      <c r="B71" s="36">
        <f t="shared" si="2"/>
        <v>0</v>
      </c>
      <c r="C71" s="45"/>
    </row>
    <row r="72" spans="1:4" ht="15.75" customHeight="1">
      <c r="A72" s="1">
        <v>71</v>
      </c>
      <c r="B72" s="36">
        <f t="shared" si="2"/>
        <v>10</v>
      </c>
      <c r="C72" s="46">
        <v>10</v>
      </c>
    </row>
    <row r="73" spans="1:4" ht="15.75" customHeight="1">
      <c r="A73" s="1">
        <v>72</v>
      </c>
      <c r="B73" s="36">
        <f t="shared" si="2"/>
        <v>0</v>
      </c>
      <c r="C73" s="45"/>
    </row>
    <row r="74" spans="1:4" ht="15.75" customHeight="1">
      <c r="A74" s="1">
        <v>73</v>
      </c>
      <c r="B74" s="36">
        <f t="shared" si="2"/>
        <v>0</v>
      </c>
      <c r="C74" s="45"/>
    </row>
    <row r="75" spans="1:4" ht="15.75" customHeight="1">
      <c r="A75" s="1">
        <v>74</v>
      </c>
      <c r="B75" s="36">
        <f t="shared" si="2"/>
        <v>0</v>
      </c>
      <c r="C75" s="45"/>
    </row>
    <row r="76" spans="1:4" ht="15.75" customHeight="1">
      <c r="A76" s="1">
        <v>75</v>
      </c>
      <c r="B76" s="36">
        <f t="shared" si="2"/>
        <v>0</v>
      </c>
      <c r="C76" s="45"/>
    </row>
    <row r="77" spans="1:4" ht="15.75" customHeight="1">
      <c r="A77" s="1">
        <v>76</v>
      </c>
      <c r="B77" s="36">
        <f t="shared" si="2"/>
        <v>0</v>
      </c>
      <c r="C77" s="45"/>
    </row>
    <row r="78" spans="1:4" ht="15.75" customHeight="1">
      <c r="A78" s="1">
        <v>77</v>
      </c>
      <c r="B78" s="36">
        <f t="shared" si="2"/>
        <v>0</v>
      </c>
      <c r="C78" s="45"/>
    </row>
    <row r="79" spans="1:4" ht="15.75" customHeight="1">
      <c r="A79" s="1">
        <v>78</v>
      </c>
      <c r="B79" s="36">
        <f t="shared" si="2"/>
        <v>0</v>
      </c>
      <c r="C79" s="45"/>
    </row>
    <row r="80" spans="1:4" ht="15.75" customHeight="1">
      <c r="A80" s="1">
        <v>79</v>
      </c>
      <c r="B80" s="36">
        <f t="shared" si="2"/>
        <v>0</v>
      </c>
      <c r="C80" s="45"/>
    </row>
    <row r="81" spans="1:4" ht="15.75" customHeight="1">
      <c r="A81" s="1">
        <v>80</v>
      </c>
      <c r="B81" s="36">
        <f t="shared" si="2"/>
        <v>0</v>
      </c>
      <c r="C81" s="45"/>
    </row>
    <row r="82" spans="1:4" ht="15.75" customHeight="1">
      <c r="A82" s="1">
        <v>81</v>
      </c>
      <c r="B82" s="36">
        <f t="shared" si="2"/>
        <v>0</v>
      </c>
      <c r="C82" s="45"/>
    </row>
    <row r="83" spans="1:4" ht="15.75" customHeight="1">
      <c r="A83" s="1">
        <v>82</v>
      </c>
      <c r="B83" s="36">
        <f t="shared" si="2"/>
        <v>0</v>
      </c>
      <c r="C83" s="45"/>
    </row>
    <row r="84" spans="1:4" ht="15.75" customHeight="1">
      <c r="A84" s="1">
        <v>83</v>
      </c>
      <c r="B84" s="36">
        <f t="shared" si="2"/>
        <v>0</v>
      </c>
      <c r="C84" s="45"/>
    </row>
    <row r="85" spans="1:4" ht="15.75" customHeight="1">
      <c r="A85" s="1">
        <v>84</v>
      </c>
      <c r="B85" s="36">
        <f t="shared" si="2"/>
        <v>10</v>
      </c>
      <c r="C85" s="46">
        <v>10</v>
      </c>
    </row>
    <row r="86" spans="1:4" ht="15.75" customHeight="1">
      <c r="A86" s="1">
        <v>85</v>
      </c>
      <c r="B86" s="36">
        <f t="shared" si="2"/>
        <v>15</v>
      </c>
      <c r="C86" s="46">
        <v>15</v>
      </c>
    </row>
    <row r="87" spans="1:4" ht="15.75" customHeight="1">
      <c r="A87" s="1">
        <v>86</v>
      </c>
      <c r="B87" s="36">
        <f t="shared" si="2"/>
        <v>15</v>
      </c>
      <c r="C87" s="46">
        <v>15</v>
      </c>
    </row>
    <row r="88" spans="1:4" ht="15.75" customHeight="1">
      <c r="A88" s="1">
        <v>87</v>
      </c>
      <c r="B88" s="36">
        <f t="shared" si="2"/>
        <v>20</v>
      </c>
      <c r="C88" s="46">
        <v>20</v>
      </c>
    </row>
    <row r="89" spans="1:4" ht="15.75" customHeight="1">
      <c r="A89">
        <v>88</v>
      </c>
      <c r="B89" s="36">
        <f t="shared" si="2"/>
        <v>15</v>
      </c>
      <c r="D89">
        <v>15</v>
      </c>
    </row>
    <row r="90" spans="1:4" ht="15.75" customHeight="1">
      <c r="A90">
        <v>89</v>
      </c>
      <c r="B90" s="36">
        <f t="shared" si="2"/>
        <v>15</v>
      </c>
      <c r="D90">
        <v>15</v>
      </c>
    </row>
    <row r="91" spans="1:4" ht="15.75" customHeight="1">
      <c r="A91">
        <v>90</v>
      </c>
      <c r="B91" s="36">
        <f t="shared" si="2"/>
        <v>20</v>
      </c>
      <c r="D91">
        <v>20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Fenitra Sarobidy</cp:lastModifiedBy>
  <cp:revision>1</cp:revision>
  <dcterms:modified xsi:type="dcterms:W3CDTF">2026-01-27T09:50:06Z</dcterms:modified>
  <dc:language>fr-FR</dc:language>
</cp:coreProperties>
</file>